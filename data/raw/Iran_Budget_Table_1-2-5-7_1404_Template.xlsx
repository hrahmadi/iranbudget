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hamidreza/Documents/AI-Projects/IranBudget/data/raw/"/>
    </mc:Choice>
  </mc:AlternateContent>
  <xr:revisionPtr revIDLastSave="0" documentId="13_ncr:1_{5E061A8A-DBCB-0844-8658-387A737366A6}" xr6:coauthVersionLast="47" xr6:coauthVersionMax="47" xr10:uidLastSave="{00000000-0000-0000-0000-000000000000}"/>
  <bookViews>
    <workbookView xWindow="1300" yWindow="500" windowWidth="27460" windowHeight="17500" activeTab="8" xr2:uid="{00000000-000D-0000-FFFF-FFFF00000000}"/>
  </bookViews>
  <sheets>
    <sheet name="Iran Budget Table 5 - 1404" sheetId="1" r:id="rId1"/>
    <sheet name="Table 1" sheetId="6" r:id="rId2"/>
    <sheet name="table 2" sheetId="2" r:id="rId3"/>
    <sheet name="Table 3" sheetId="7" r:id="rId4"/>
    <sheet name="table 14" sheetId="3" r:id="rId5"/>
    <sheet name="Table  7" sheetId="4" r:id="rId6"/>
    <sheet name="table 8" sheetId="5" r:id="rId7"/>
    <sheet name="Table 11" sheetId="9" r:id="rId8"/>
    <sheet name="Sheet4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8" i="10" l="1"/>
  <c r="B21" i="10"/>
  <c r="A13" i="6"/>
  <c r="A11" i="6"/>
  <c r="A9" i="6"/>
  <c r="C8" i="6"/>
  <c r="A6" i="6"/>
  <c r="C6" i="6"/>
  <c r="C10" i="6" s="1"/>
  <c r="C12" i="6" s="1"/>
  <c r="D32" i="4"/>
  <c r="D30" i="4"/>
  <c r="D29" i="4"/>
  <c r="D28" i="4"/>
  <c r="D27" i="4"/>
  <c r="D26" i="4"/>
  <c r="D21" i="4"/>
  <c r="D11" i="4"/>
  <c r="D12" i="4"/>
  <c r="D13" i="4"/>
  <c r="D14" i="4"/>
  <c r="D15" i="4"/>
  <c r="D16" i="4"/>
  <c r="D17" i="4"/>
  <c r="D18" i="4"/>
  <c r="D19" i="4"/>
  <c r="D20" i="4"/>
  <c r="D22" i="4"/>
  <c r="D23" i="4"/>
  <c r="D24" i="4"/>
  <c r="C10" i="4"/>
  <c r="B10" i="4"/>
  <c r="D3" i="4"/>
  <c r="C31" i="3"/>
  <c r="D8" i="3"/>
  <c r="B14" i="2"/>
  <c r="B10" i="2"/>
  <c r="B2" i="2"/>
  <c r="E9" i="1"/>
  <c r="K5" i="1"/>
  <c r="K6" i="1"/>
  <c r="K18" i="1"/>
  <c r="K19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I5" i="1"/>
  <c r="I6" i="1"/>
  <c r="I7" i="1"/>
  <c r="K7" i="1" s="1"/>
  <c r="I8" i="1"/>
  <c r="K8" i="1" s="1"/>
  <c r="I9" i="1"/>
  <c r="I10" i="1"/>
  <c r="I11" i="1"/>
  <c r="I12" i="1"/>
  <c r="I13" i="1"/>
  <c r="I14" i="1"/>
  <c r="I15" i="1"/>
  <c r="I16" i="1"/>
  <c r="I17" i="1"/>
  <c r="I18" i="1"/>
  <c r="I1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E5" i="1"/>
  <c r="E6" i="1"/>
  <c r="E7" i="1"/>
  <c r="E8" i="1"/>
  <c r="E10" i="1"/>
  <c r="E11" i="1"/>
  <c r="E12" i="1"/>
  <c r="E13" i="1"/>
  <c r="E14" i="1"/>
  <c r="E15" i="1"/>
  <c r="E16" i="1"/>
  <c r="E17" i="1"/>
  <c r="E18" i="1"/>
  <c r="E19" i="1"/>
  <c r="K4" i="1"/>
  <c r="J4" i="1"/>
  <c r="I4" i="1"/>
  <c r="H4" i="1"/>
  <c r="E4" i="1"/>
  <c r="K3" i="1"/>
  <c r="J3" i="1"/>
  <c r="I3" i="1"/>
  <c r="H3" i="1"/>
  <c r="E3" i="1"/>
  <c r="J2" i="1"/>
  <c r="K2" i="1" s="1"/>
  <c r="I2" i="1"/>
  <c r="H2" i="1"/>
  <c r="E2" i="1"/>
  <c r="D10" i="4" l="1"/>
  <c r="K17" i="1"/>
  <c r="K16" i="1"/>
  <c r="K15" i="1"/>
  <c r="K14" i="1"/>
  <c r="K13" i="1"/>
  <c r="K12" i="1"/>
  <c r="K11" i="1"/>
  <c r="K10" i="1"/>
  <c r="K9" i="1"/>
</calcChain>
</file>

<file path=xl/sharedStrings.xml><?xml version="1.0" encoding="utf-8"?>
<sst xmlns="http://schemas.openxmlformats.org/spreadsheetml/2006/main" count="255" uniqueCount="203">
  <si>
    <t>Classification Code</t>
  </si>
  <si>
    <t>Title</t>
  </si>
  <si>
    <t>General - National</t>
  </si>
  <si>
    <t>General - Provincial</t>
  </si>
  <si>
    <t>General - Total</t>
  </si>
  <si>
    <t>Dedicated - National</t>
  </si>
  <si>
    <t>Dedicated - Provincial</t>
  </si>
  <si>
    <t>Dedicated - Total</t>
  </si>
  <si>
    <t>Grand Total - National</t>
  </si>
  <si>
    <t>Grand Total - Provincial</t>
  </si>
  <si>
    <t>Grand Total</t>
  </si>
  <si>
    <t>10000</t>
  </si>
  <si>
    <t>Revenues</t>
  </si>
  <si>
    <t>11000</t>
  </si>
  <si>
    <t>Taxes</t>
  </si>
  <si>
    <t>110101</t>
  </si>
  <si>
    <t>110102</t>
  </si>
  <si>
    <t>110103</t>
  </si>
  <si>
    <t>110104</t>
  </si>
  <si>
    <t>بند اول مالیات اشخاص حقوقی</t>
  </si>
  <si>
    <t>مالیات علی الحساب اشخاص حقوقی دولتی وصول ماهانه یک دوازدهم رقم</t>
  </si>
  <si>
    <t>مالیات عملکرد شرکتهای دولتی</t>
  </si>
  <si>
    <t>مالیات بنگاههای اقتصادی، نهادها و بنیادهای انقلاب اسلامی</t>
  </si>
  <si>
    <t>مالیات اشخاص حقوقی غیردولتی</t>
  </si>
  <si>
    <t>مالیات حاصل از درآمد اتاقهای ؟؟؟ از سود نگهداری وجد اشخاص</t>
  </si>
  <si>
    <t>درآمد حاصل از مالیات پرداخت استان قدس رضوی و غیره</t>
  </si>
  <si>
    <t>درآمد حاصل از صادرات مواد خام و محصولات معدنی و صنایع معدنی فلزی و غیرهفلزی و محصولات نفی کازی و پتروشیمی</t>
  </si>
  <si>
    <t>اوراق تسویه خزانه و ارواق اسلامی</t>
  </si>
  <si>
    <t>بند دوم مالیات بر درآمدها</t>
  </si>
  <si>
    <t>مالیات حقوق کارکنان بخش عمومی</t>
  </si>
  <si>
    <t>مالیات حقوق کارکنان بخش خصوصی</t>
  </si>
  <si>
    <t>110105</t>
  </si>
  <si>
    <t>110106</t>
  </si>
  <si>
    <t>110111</t>
  </si>
  <si>
    <t>110112</t>
  </si>
  <si>
    <t>110115</t>
  </si>
  <si>
    <t>110116</t>
  </si>
  <si>
    <t>مالیات شرکت ها و  موسسات وابسته به آستان قدس رضوی</t>
  </si>
  <si>
    <t>مالیات بر درآمد حاصل از فعالیت های تولیدی و معدنی</t>
  </si>
  <si>
    <t>110117</t>
  </si>
  <si>
    <t>درآمد ها</t>
  </si>
  <si>
    <t>درآمدهای مالیاتی</t>
  </si>
  <si>
    <t>درآمدهای ناشی از کمک های اجتماعی</t>
  </si>
  <si>
    <t>درآمدهای حاصل از مالکیت دولت</t>
  </si>
  <si>
    <t>درآمد های حاصل از فروش کالا و خدمات</t>
  </si>
  <si>
    <t>درآمد حاصل از جرایم و خسارات</t>
  </si>
  <si>
    <t>درآمد های متفرقه</t>
  </si>
  <si>
    <t>هزینه ها</t>
  </si>
  <si>
    <t>عمومی</t>
  </si>
  <si>
    <t>متفرقه</t>
  </si>
  <si>
    <t>تراز عملیاتی</t>
  </si>
  <si>
    <t>ردیف</t>
  </si>
  <si>
    <t>عنوان درآمد</t>
  </si>
  <si>
    <t>مبلغ</t>
  </si>
  <si>
    <t>فروش داخلی فرآورده‌های نفتی و مطالبات سنوات گذشته</t>
  </si>
  <si>
    <t>فروش داخلی گاز با لحاظ مالیات بر ارزش افزوده، عوارض شهرداری‌ها، دهیاری‌ها و سلامت</t>
  </si>
  <si>
    <t>مطالبات سنواتی</t>
  </si>
  <si>
    <t>صادرات فرآورده‌های نفتی</t>
  </si>
  <si>
    <t>فروش داخلی میعانات گازی به پتروشیمی‌ها</t>
  </si>
  <si>
    <t>جمع</t>
  </si>
  <si>
    <t>کمک زیان از بودجه عمومی</t>
  </si>
  <si>
    <t>منابع (جمع کل)</t>
  </si>
  <si>
    <t>مبالغ به میلیارد ریال میباشد</t>
  </si>
  <si>
    <t>هدفمندکردن یارانه ها</t>
  </si>
  <si>
    <t>انتقال از بودجه عمومی</t>
  </si>
  <si>
    <t>عنوان مصرف</t>
  </si>
  <si>
    <t>هزینه سرمایه‌گذاری و کمک به شرکت ملی نفت</t>
  </si>
  <si>
    <t>هزینه سرمایه‌گذاری و کمک به شرکت ملی گاز</t>
  </si>
  <si>
    <t>مصارف سازمان هدفمندسازی یارانه‌ها</t>
  </si>
  <si>
    <t>یارانه نقدی / کالابرگ</t>
  </si>
  <si>
    <t>مستمری خانوارهای تحت پوشش کمیته امداد خمینی (ره)</t>
  </si>
  <si>
    <t>مستمری خانوارهای تحت پوشش سازمان بهزیستی کشور</t>
  </si>
  <si>
    <t>یارانه آرد و نان (خرید تضمینی گندم)</t>
  </si>
  <si>
    <t>مابه‌التفاوت نرخ ارز دارو، شیر خشک اطفال و مواد اولیه (از ترجیحی 28,500 ریال) *</t>
  </si>
  <si>
    <t>اعتبارات موضوع ماده 46 قانون تنظیم بخشی از مقررات مالی دولت (2) برای تحقق شاخص عدالت در سلامت (به شرح جدول 14-1) *</t>
  </si>
  <si>
    <t>حمایت از تولید و اشتغال در اجرای تکالیف مندرج در موضوع ماده (3) قانون هدفمندسازی یارانه‌ها (به شرح جدول 14-2)</t>
  </si>
  <si>
    <t>خرید فرآورده‌های نفتی داخلی و خارجی</t>
  </si>
  <si>
    <t>هزینه سرمایه‌گذاری و کمک به شرکت ملی پخش و پالایش فرآورده‌های نفتی</t>
  </si>
  <si>
    <t>اعتبارات موضوع بند (5) تبصره (5) قانون بودجه</t>
  </si>
  <si>
    <t>زیرساخت‌های انرژی، ایجاد نیروگاه‌های خورشیدی در دستگاه‌ها و طرح‌های ذخیره‌سازی و احیای قنوات</t>
  </si>
  <si>
    <t>مصارف (جمع کل)</t>
  </si>
  <si>
    <t>جدول شماره ۷-الف اعتبارات متفرقه انتقال یافته به جدول ۷-ب در سال ۱۴۰۴</t>
  </si>
  <si>
    <t>اعتبارات ردیف های موردی (موقت)</t>
  </si>
  <si>
    <t>هزینه ای</t>
  </si>
  <si>
    <t>تملک داراییهای سرمایه ای</t>
  </si>
  <si>
    <t>جمع کل</t>
  </si>
  <si>
    <t xml:space="preserve">جدول شماره ۷-ب اعتبارات دستگاههای اجرایی ذیل دستگاه سیاستگذار </t>
  </si>
  <si>
    <t>نهاد ریاست جمهوری</t>
  </si>
  <si>
    <t>شورای مالی امنیت ملی</t>
  </si>
  <si>
    <t>دبیرخانه مجلس خبرگان</t>
  </si>
  <si>
    <t>مجمع تشخیص مصلحت</t>
  </si>
  <si>
    <t>بنیاد ملی نخبگان</t>
  </si>
  <si>
    <t>معاونت علمی و فناوری رییس جمهور</t>
  </si>
  <si>
    <t>تملک دارایی های سرمایه ای</t>
  </si>
  <si>
    <t>خود نهاد</t>
  </si>
  <si>
    <t>مرکز همکاریهای تحول و پیشرفت</t>
  </si>
  <si>
    <t>هزینه های ضروری - کمک به اشخاص حقیقی و حقوقی خصوصی و دولتی</t>
  </si>
  <si>
    <t>هیات مالی گزینش</t>
  </si>
  <si>
    <t>مهاونت امور زنان و خانواده</t>
  </si>
  <si>
    <t>ستاد مبارزه با مواد مخدر</t>
  </si>
  <si>
    <t>شورای نظارت بر صدا سیما</t>
  </si>
  <si>
    <t xml:space="preserve">مرکز امور حقوقی بین المللی </t>
  </si>
  <si>
    <t>مرکز ملی رقابت</t>
  </si>
  <si>
    <t>پژوهشکده مطالعات فناوری</t>
  </si>
  <si>
    <t>معاونت اجرایی رییس جمهور</t>
  </si>
  <si>
    <t>معاونت توسعه روستایی و مناطق محروم</t>
  </si>
  <si>
    <t>ستاد مبارزه با قاچاق کالا و ارز</t>
  </si>
  <si>
    <t>دبیرخانه ستاد حمایت از خانواده و جوانی جمعیت</t>
  </si>
  <si>
    <t>همه مبالغ به میلیون ریال</t>
  </si>
  <si>
    <t>دستگاه متولی</t>
  </si>
  <si>
    <t>وزارت فرهنگ و ارشاد اسلامی</t>
  </si>
  <si>
    <t>قرب بقیه الله</t>
  </si>
  <si>
    <t>شورای هماهنگی تبلیغات اسلامی</t>
  </si>
  <si>
    <t>ستاد احیا امر به معروف و نهی از منکر</t>
  </si>
  <si>
    <t>مجمع مالی حکمت اسلامی</t>
  </si>
  <si>
    <t>مرکز الگوی اسلامی ایرانی پیشرفت</t>
  </si>
  <si>
    <t>بنیاد حفظ آثار و نشر ارزشهای دفاع مقدس</t>
  </si>
  <si>
    <t xml:space="preserve">سازمان بسیج </t>
  </si>
  <si>
    <t>سازمان صدا و سیما</t>
  </si>
  <si>
    <t>بنیاد ملی بازی‌های رایانه ای</t>
  </si>
  <si>
    <t>خوزه هنری انقلاب اسلامی</t>
  </si>
  <si>
    <t>کانون پرورش فکری کودکان و نوجوانان</t>
  </si>
  <si>
    <t>سازمان سینمایی</t>
  </si>
  <si>
    <t>سازمان فرهنگی هنری اوج</t>
  </si>
  <si>
    <t>شورای عالی انقلاب فرهنگی</t>
  </si>
  <si>
    <t>موسسه نشر آثار حضرت امام خمینی</t>
  </si>
  <si>
    <t>موسسه پژوهشی و فرهنگی انقلاب اسلامی</t>
  </si>
  <si>
    <t>سازمان فرهنگ و ارتباطات اسلامی</t>
  </si>
  <si>
    <t>دفتر تبلیغات حوزه علمیه</t>
  </si>
  <si>
    <t>موسسه موضوع شناسی احکام فقهی</t>
  </si>
  <si>
    <t>سازمان تبلیغات اسلامی</t>
  </si>
  <si>
    <t>وزارش آموزش و پرورش</t>
  </si>
  <si>
    <t>دانشگاه فرهنگیان</t>
  </si>
  <si>
    <t>سازمان بسیج</t>
  </si>
  <si>
    <t>شورای عالی حوزه‌های علمیه</t>
  </si>
  <si>
    <t>شورای عالی حوزه علمیه خراسان</t>
  </si>
  <si>
    <t>شورای سیاست گذاری حوزه‌های علمیه خواهران</t>
  </si>
  <si>
    <t>جامعه الزهرا</t>
  </si>
  <si>
    <t>مبلغ میلیون ریال</t>
  </si>
  <si>
    <t>grand total</t>
  </si>
  <si>
    <t>خلاصه بودجه ۱۴۰۴</t>
  </si>
  <si>
    <t>درآمد</t>
  </si>
  <si>
    <t>واگذاری دارایی‌های سرمایه‌ای</t>
  </si>
  <si>
    <t>واگذاری دارائی‌های مالی</t>
  </si>
  <si>
    <t>جمع منابع عمومی دولت</t>
  </si>
  <si>
    <t>درآمد اختصاصی دولت</t>
  </si>
  <si>
    <t>منابع بودجه عمومی دولت</t>
  </si>
  <si>
    <t>منابع  شرکتهای دولتی موسسات انتفاعی وابسته به دولت و بانکها</t>
  </si>
  <si>
    <t>کسر میشود ارقامی که دوباره منظور شده است</t>
  </si>
  <si>
    <t>منابع بودجه کل کشور</t>
  </si>
  <si>
    <t>منابع</t>
  </si>
  <si>
    <t>تملک داراییهای مالی</t>
  </si>
  <si>
    <t>جمع مصارف عمومی دولت</t>
  </si>
  <si>
    <t>از محل درآمدهای اختصاصی دولت - هزینه ای</t>
  </si>
  <si>
    <t>از محل درآمدهای اختصاصی دولت - سرمایه ای</t>
  </si>
  <si>
    <t>مصارف بودجه عمومی دولت</t>
  </si>
  <si>
    <t>مصارف شرکت‌های دولتی، موسات انتفاعی وابسته به دولت و بانک‌ها</t>
  </si>
  <si>
    <t>مصارف بودجه کل کشور</t>
  </si>
  <si>
    <t>مصارف</t>
  </si>
  <si>
    <t>مصارف (میلیون ریال)</t>
  </si>
  <si>
    <t>منابع (میلیون ریال)</t>
  </si>
  <si>
    <t>خلاصه واگذاری و تملک دارایی های سرمایه ای در سال ۱۴۰۴</t>
  </si>
  <si>
    <t>واگذاری دارایی های سرمایه ای</t>
  </si>
  <si>
    <t>مبلغ به میلیون ریال</t>
  </si>
  <si>
    <t>بند اول: منبع حاصل از نفت و فرآورده های نفتی</t>
  </si>
  <si>
    <t>بند دوم: منابع حاصل از فروش و واگذاری اموال منقول و غیر منقول</t>
  </si>
  <si>
    <t>بند سوم: منابع حاصل از واگذاری طرح تملک دارایی‌های سرمایه‌ای</t>
  </si>
  <si>
    <t>تملک دارایی‌های سرمایه‌ای</t>
  </si>
  <si>
    <t>خالص دارایی‌های سرمایه‌ای</t>
  </si>
  <si>
    <t>جدول ۱۱ - بودجه مصوب شرکت‌های دولتی سال ۱۴۰۴</t>
  </si>
  <si>
    <t>درآمدها</t>
  </si>
  <si>
    <t>اعتبارات هزینه ای</t>
  </si>
  <si>
    <t>اعتبارات تملک دارایی های سرمایه ای</t>
  </si>
  <si>
    <t>تسهیلات بانکی و سایر وام‌های داخلی</t>
  </si>
  <si>
    <t>وام‌های خارجی</t>
  </si>
  <si>
    <t>دارایی‌های جاری</t>
  </si>
  <si>
    <t>سایر دریافتی</t>
  </si>
  <si>
    <t>هزینه‌ها</t>
  </si>
  <si>
    <t>مالیات</t>
  </si>
  <si>
    <t>سود ویژه ۵۰٪</t>
  </si>
  <si>
    <t>سود سهام</t>
  </si>
  <si>
    <t>سایر حسابهای تخصیص سود</t>
  </si>
  <si>
    <t>بازپرداخت تسهیلات بانکی و سایر وامهای داخلی</t>
  </si>
  <si>
    <t>بازپرداخت وام‌های خارجی</t>
  </si>
  <si>
    <t>وجوه اداره شده</t>
  </si>
  <si>
    <t>بازپرداخت ودیعه، بدهی‌ها و سایر پرداخت‌ها</t>
  </si>
  <si>
    <t>هزینه‌های سرمایه‌ای</t>
  </si>
  <si>
    <t>افزایش دارائی‌های جاری</t>
  </si>
  <si>
    <t xml:space="preserve">جمع </t>
  </si>
  <si>
    <t>کسر میشود: ذخیر استهلاک منظور جاری</t>
  </si>
  <si>
    <t>جدول ۱۲ برنامه هم افزایی و ارتقایی فعالیت ها و تولیدات فرهنگی از محل یک درصد از هرین ههای شرکت های دولتی</t>
  </si>
  <si>
    <t>مجمع عالی حکمت اسلامی</t>
  </si>
  <si>
    <t>بنیاد حفظ آثار و نشر ارزش‌های دفاع مقدس</t>
  </si>
  <si>
    <t>وزارت فرهنگ و ارشاد اسلامی (بنیاد ملی بازی‌های رایانه ای</t>
  </si>
  <si>
    <t>حوزه هنری انقلاب اسلامی</t>
  </si>
  <si>
    <t>کانون پرورش فکری کودکان نوجوانان</t>
  </si>
  <si>
    <t>وزارت فرهنگ و ارشاد اسلامی (سازمان سینمایی)</t>
  </si>
  <si>
    <t>دفتر تبلیغات حوزه‌های علمیه</t>
  </si>
  <si>
    <t>وزارت آموزش و پرورش</t>
  </si>
  <si>
    <t>شورای عالی حوزه های علمیه</t>
  </si>
  <si>
    <t>شورای عالی حوزه‌های علمیه خراسان</t>
  </si>
  <si>
    <t>مساجد کشور</t>
  </si>
  <si>
    <t>ورزش همگانی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</si>
</sst>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164" fontId="0" fillId="0" borderId="0" xfId="0" applyNumberFormat="1"/>
    <xf numFmtId="0" fontId="3" fillId="0" borderId="0" xfId="0" applyFont="1"/>
    <xf numFmtId="3" fontId="0" fillId="0" borderId="0" xfId="0" applyNumberFormat="1"/>
    <xf numFmtId="3" fontId="3" fillId="0" borderId="0" xfId="0" applyNumberFormat="1" applyFont="1"/>
    <xf numFmtId="164" fontId="3" fillId="0" borderId="0" xfId="1" applyNumberFormat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Normal="100" workbookViewId="0">
      <selection activeCell="D22" sqref="D22"/>
    </sheetView>
  </sheetViews>
  <sheetFormatPr baseColWidth="10" defaultColWidth="8.83203125" defaultRowHeight="15" x14ac:dyDescent="0.2"/>
  <cols>
    <col min="2" max="2" width="35.1640625" customWidth="1"/>
    <col min="3" max="3" width="16.33203125" bestFit="1" customWidth="1"/>
    <col min="4" max="5" width="17.33203125" bestFit="1" customWidth="1"/>
    <col min="6" max="6" width="16.83203125" bestFit="1" customWidth="1"/>
    <col min="7" max="7" width="18" bestFit="1" customWidth="1"/>
    <col min="8" max="8" width="13.83203125" bestFit="1" customWidth="1"/>
    <col min="9" max="9" width="17.83203125" bestFit="1" customWidth="1"/>
    <col min="10" max="10" width="19" bestFit="1" customWidth="1"/>
    <col min="11" max="11" width="14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t="s">
        <v>11</v>
      </c>
      <c r="B2" t="s">
        <v>12</v>
      </c>
      <c r="C2" s="1">
        <v>9784578177</v>
      </c>
      <c r="D2" s="1">
        <v>14679971823</v>
      </c>
      <c r="E2" s="3">
        <f>C2+D2</f>
        <v>24464550000</v>
      </c>
      <c r="F2" s="1">
        <v>4157661049</v>
      </c>
      <c r="G2" s="1">
        <v>117008951</v>
      </c>
      <c r="H2" s="3">
        <f>F2+G2</f>
        <v>4274670000</v>
      </c>
      <c r="I2" s="3">
        <f t="shared" ref="I2:J4" si="0">C2+F2</f>
        <v>13942239226</v>
      </c>
      <c r="J2" s="3">
        <f t="shared" si="0"/>
        <v>14796980774</v>
      </c>
      <c r="K2" s="3">
        <f>I2+J2</f>
        <v>28739220000</v>
      </c>
    </row>
    <row r="3" spans="1:11" x14ac:dyDescent="0.2">
      <c r="A3" t="s">
        <v>13</v>
      </c>
      <c r="B3" t="s">
        <v>14</v>
      </c>
      <c r="C3" s="1">
        <v>6445961000</v>
      </c>
      <c r="D3" s="1">
        <v>14394039000</v>
      </c>
      <c r="E3" s="3">
        <f>C3+D3</f>
        <v>20840000000</v>
      </c>
      <c r="F3" s="1">
        <v>286965178</v>
      </c>
      <c r="G3" s="1">
        <v>0</v>
      </c>
      <c r="H3" s="3">
        <f>F3+G3</f>
        <v>286965178</v>
      </c>
      <c r="I3" s="3">
        <f t="shared" si="0"/>
        <v>6732926178</v>
      </c>
      <c r="J3" s="3">
        <f t="shared" si="0"/>
        <v>14394039000</v>
      </c>
      <c r="K3" s="3">
        <f>I3+J3</f>
        <v>21126965178</v>
      </c>
    </row>
    <row r="4" spans="1:11" x14ac:dyDescent="0.2">
      <c r="A4" t="s">
        <v>15</v>
      </c>
      <c r="B4" t="s">
        <v>19</v>
      </c>
      <c r="C4" s="1">
        <v>1765281000</v>
      </c>
      <c r="D4" s="1">
        <v>6333520000</v>
      </c>
      <c r="E4" s="3">
        <f>C4+D4</f>
        <v>8098801000</v>
      </c>
      <c r="F4" s="1">
        <v>67707049</v>
      </c>
      <c r="G4" s="1">
        <v>0</v>
      </c>
      <c r="H4" s="3">
        <f>F4+G4</f>
        <v>67707049</v>
      </c>
      <c r="I4" s="3">
        <f t="shared" si="0"/>
        <v>1832988049</v>
      </c>
      <c r="J4" s="3">
        <f t="shared" si="0"/>
        <v>6333520000</v>
      </c>
      <c r="K4" s="3">
        <f>I4+J4</f>
        <v>8166508049</v>
      </c>
    </row>
    <row r="5" spans="1:11" x14ac:dyDescent="0.2">
      <c r="A5" t="s">
        <v>16</v>
      </c>
      <c r="B5" t="s">
        <v>20</v>
      </c>
      <c r="C5" s="1">
        <v>374345109</v>
      </c>
      <c r="D5" s="1">
        <v>0</v>
      </c>
      <c r="E5" s="3">
        <f t="shared" ref="E5:E19" si="1">C5+D5</f>
        <v>374345109</v>
      </c>
      <c r="F5" s="1">
        <v>0</v>
      </c>
      <c r="G5" s="1">
        <v>0</v>
      </c>
      <c r="H5" s="3">
        <f t="shared" ref="H5:H19" si="2">F5+G5</f>
        <v>0</v>
      </c>
      <c r="I5" s="3">
        <f t="shared" ref="I5:I19" si="3">C5+F5</f>
        <v>374345109</v>
      </c>
      <c r="J5" s="3">
        <f t="shared" ref="J5:J19" si="4">D5+G5</f>
        <v>0</v>
      </c>
      <c r="K5" s="3">
        <f t="shared" ref="K5:K19" si="5">I5+J5</f>
        <v>374345109</v>
      </c>
    </row>
    <row r="6" spans="1:11" x14ac:dyDescent="0.2">
      <c r="A6" t="s">
        <v>17</v>
      </c>
      <c r="B6" t="s">
        <v>21</v>
      </c>
      <c r="C6" s="1">
        <v>570000000</v>
      </c>
      <c r="D6" s="1">
        <v>0</v>
      </c>
      <c r="E6" s="3">
        <f t="shared" si="1"/>
        <v>570000000</v>
      </c>
      <c r="F6" s="1">
        <v>0</v>
      </c>
      <c r="G6" s="1">
        <v>0</v>
      </c>
      <c r="H6" s="3">
        <f t="shared" si="2"/>
        <v>0</v>
      </c>
      <c r="I6" s="3">
        <f t="shared" si="3"/>
        <v>570000000</v>
      </c>
      <c r="J6" s="3">
        <f t="shared" si="4"/>
        <v>0</v>
      </c>
      <c r="K6" s="3">
        <f t="shared" si="5"/>
        <v>570000000</v>
      </c>
    </row>
    <row r="7" spans="1:11" x14ac:dyDescent="0.2">
      <c r="A7" t="s">
        <v>18</v>
      </c>
      <c r="B7" t="s">
        <v>22</v>
      </c>
      <c r="C7" s="1">
        <v>30000000</v>
      </c>
      <c r="D7" s="1"/>
      <c r="E7" s="3">
        <f t="shared" si="1"/>
        <v>30000000</v>
      </c>
      <c r="F7" s="1">
        <v>303030</v>
      </c>
      <c r="G7" s="1"/>
      <c r="H7" s="3">
        <f t="shared" si="2"/>
        <v>303030</v>
      </c>
      <c r="I7" s="3">
        <f t="shared" si="3"/>
        <v>30303030</v>
      </c>
      <c r="J7" s="3">
        <f t="shared" si="4"/>
        <v>0</v>
      </c>
      <c r="K7" s="3">
        <f t="shared" si="5"/>
        <v>30303030</v>
      </c>
    </row>
    <row r="8" spans="1:11" x14ac:dyDescent="0.2">
      <c r="A8" t="s">
        <v>31</v>
      </c>
      <c r="B8" t="s">
        <v>23</v>
      </c>
      <c r="C8" s="1">
        <v>255935891</v>
      </c>
      <c r="D8" s="1">
        <v>6333520000</v>
      </c>
      <c r="E8" s="3">
        <f t="shared" si="1"/>
        <v>6589455891</v>
      </c>
      <c r="F8" s="1">
        <v>67162100</v>
      </c>
      <c r="G8" s="1">
        <v>0</v>
      </c>
      <c r="H8" s="3">
        <f t="shared" si="2"/>
        <v>67162100</v>
      </c>
      <c r="I8" s="3">
        <f t="shared" si="3"/>
        <v>323097991</v>
      </c>
      <c r="J8" s="3">
        <f t="shared" si="4"/>
        <v>6333520000</v>
      </c>
      <c r="K8" s="3">
        <f t="shared" si="5"/>
        <v>6656617991</v>
      </c>
    </row>
    <row r="9" spans="1:11" x14ac:dyDescent="0.2">
      <c r="A9" t="s">
        <v>32</v>
      </c>
      <c r="B9" t="s">
        <v>24</v>
      </c>
      <c r="C9" s="1">
        <v>5000000</v>
      </c>
      <c r="D9" s="1"/>
      <c r="E9" s="3">
        <f t="shared" si="1"/>
        <v>5000000</v>
      </c>
      <c r="F9" s="1">
        <v>50000</v>
      </c>
      <c r="G9" s="1">
        <v>0</v>
      </c>
      <c r="H9" s="3">
        <f t="shared" si="2"/>
        <v>50000</v>
      </c>
      <c r="I9" s="3">
        <f t="shared" si="3"/>
        <v>5050000</v>
      </c>
      <c r="J9" s="3">
        <f t="shared" si="4"/>
        <v>0</v>
      </c>
      <c r="K9" s="3">
        <f t="shared" si="5"/>
        <v>5050000</v>
      </c>
    </row>
    <row r="10" spans="1:11" x14ac:dyDescent="0.2">
      <c r="A10" t="s">
        <v>33</v>
      </c>
      <c r="B10" t="s">
        <v>37</v>
      </c>
      <c r="C10" s="1">
        <v>6000000</v>
      </c>
      <c r="D10" s="1">
        <v>0</v>
      </c>
      <c r="E10" s="3">
        <f t="shared" si="1"/>
        <v>6000000</v>
      </c>
      <c r="F10" s="1">
        <v>60606</v>
      </c>
      <c r="G10" s="1">
        <v>0</v>
      </c>
      <c r="H10" s="3">
        <f t="shared" si="2"/>
        <v>60606</v>
      </c>
      <c r="I10" s="3">
        <f t="shared" si="3"/>
        <v>6060606</v>
      </c>
      <c r="J10" s="3">
        <f t="shared" si="4"/>
        <v>0</v>
      </c>
      <c r="K10" s="3">
        <f t="shared" si="5"/>
        <v>6060606</v>
      </c>
    </row>
    <row r="11" spans="1:11" x14ac:dyDescent="0.2">
      <c r="A11" t="s">
        <v>34</v>
      </c>
      <c r="B11" t="s">
        <v>25</v>
      </c>
      <c r="C11" s="1">
        <v>13000000</v>
      </c>
      <c r="D11" s="1"/>
      <c r="E11" s="3">
        <f t="shared" si="1"/>
        <v>13000000</v>
      </c>
      <c r="F11" s="1">
        <v>131313</v>
      </c>
      <c r="G11" s="1">
        <v>0</v>
      </c>
      <c r="H11" s="3">
        <f t="shared" si="2"/>
        <v>131313</v>
      </c>
      <c r="I11" s="3">
        <f t="shared" si="3"/>
        <v>13131313</v>
      </c>
      <c r="J11" s="3">
        <f t="shared" si="4"/>
        <v>0</v>
      </c>
      <c r="K11" s="3">
        <f t="shared" si="5"/>
        <v>13131313</v>
      </c>
    </row>
    <row r="12" spans="1:11" x14ac:dyDescent="0.2">
      <c r="A12" t="s">
        <v>35</v>
      </c>
      <c r="B12" t="s">
        <v>38</v>
      </c>
      <c r="C12" s="1">
        <v>350000000</v>
      </c>
      <c r="D12" s="1">
        <v>0</v>
      </c>
      <c r="E12" s="3">
        <f t="shared" si="1"/>
        <v>350000000</v>
      </c>
      <c r="F12" s="1">
        <v>0</v>
      </c>
      <c r="G12" s="1">
        <v>0</v>
      </c>
      <c r="H12" s="3">
        <f t="shared" si="2"/>
        <v>0</v>
      </c>
      <c r="I12" s="3">
        <f t="shared" si="3"/>
        <v>350000000</v>
      </c>
      <c r="J12" s="3">
        <f t="shared" si="4"/>
        <v>0</v>
      </c>
      <c r="K12" s="3">
        <f t="shared" si="5"/>
        <v>350000000</v>
      </c>
    </row>
    <row r="13" spans="1:11" x14ac:dyDescent="0.2">
      <c r="A13" t="s">
        <v>36</v>
      </c>
      <c r="B13" t="s">
        <v>26</v>
      </c>
      <c r="C13" s="1">
        <v>160000000</v>
      </c>
      <c r="D13" s="1">
        <v>0</v>
      </c>
      <c r="E13" s="3">
        <f t="shared" si="1"/>
        <v>160000000</v>
      </c>
      <c r="F13" s="1">
        <v>0</v>
      </c>
      <c r="G13" s="1">
        <v>0</v>
      </c>
      <c r="H13" s="3">
        <f t="shared" si="2"/>
        <v>0</v>
      </c>
      <c r="I13" s="3">
        <f t="shared" si="3"/>
        <v>160000000</v>
      </c>
      <c r="J13" s="3">
        <f t="shared" si="4"/>
        <v>0</v>
      </c>
      <c r="K13" s="3">
        <f t="shared" si="5"/>
        <v>160000000</v>
      </c>
    </row>
    <row r="14" spans="1:11" x14ac:dyDescent="0.2">
      <c r="A14" t="s">
        <v>39</v>
      </c>
      <c r="B14" t="s">
        <v>27</v>
      </c>
      <c r="C14" s="1">
        <v>1000000</v>
      </c>
      <c r="D14" s="1">
        <v>0</v>
      </c>
      <c r="E14" s="3">
        <f t="shared" si="1"/>
        <v>1000000</v>
      </c>
      <c r="F14" s="1">
        <v>0</v>
      </c>
      <c r="G14" s="1">
        <v>0</v>
      </c>
      <c r="H14" s="3">
        <f t="shared" si="2"/>
        <v>0</v>
      </c>
      <c r="I14" s="3">
        <f t="shared" si="3"/>
        <v>1000000</v>
      </c>
      <c r="J14" s="3">
        <f t="shared" si="4"/>
        <v>0</v>
      </c>
      <c r="K14" s="3">
        <f t="shared" si="5"/>
        <v>1000000</v>
      </c>
    </row>
    <row r="15" spans="1:11" x14ac:dyDescent="0.2">
      <c r="A15">
        <v>110200</v>
      </c>
      <c r="B15" t="s">
        <v>28</v>
      </c>
      <c r="C15" s="1">
        <v>0</v>
      </c>
      <c r="D15" s="1">
        <v>3191330993</v>
      </c>
      <c r="E15" s="3">
        <f t="shared" si="1"/>
        <v>3191330993</v>
      </c>
      <c r="F15" s="1">
        <v>32235668</v>
      </c>
      <c r="G15" s="1">
        <v>0</v>
      </c>
      <c r="H15" s="3">
        <f t="shared" si="2"/>
        <v>32235668</v>
      </c>
      <c r="I15" s="3">
        <f t="shared" si="3"/>
        <v>32235668</v>
      </c>
      <c r="J15" s="3">
        <f t="shared" si="4"/>
        <v>3191330993</v>
      </c>
      <c r="K15" s="3">
        <f t="shared" si="5"/>
        <v>3223566661</v>
      </c>
    </row>
    <row r="16" spans="1:11" x14ac:dyDescent="0.2">
      <c r="A16">
        <v>110201</v>
      </c>
      <c r="B16" t="s">
        <v>29</v>
      </c>
      <c r="C16" s="1">
        <v>0</v>
      </c>
      <c r="D16" s="1">
        <v>650000000</v>
      </c>
      <c r="E16" s="3">
        <f t="shared" si="1"/>
        <v>650000000</v>
      </c>
      <c r="F16" s="1">
        <v>6565657</v>
      </c>
      <c r="G16" s="1">
        <v>0</v>
      </c>
      <c r="H16" s="3">
        <f t="shared" si="2"/>
        <v>6565657</v>
      </c>
      <c r="I16" s="3">
        <f t="shared" si="3"/>
        <v>6565657</v>
      </c>
      <c r="J16" s="3">
        <f t="shared" si="4"/>
        <v>650000000</v>
      </c>
      <c r="K16" s="3">
        <f t="shared" si="5"/>
        <v>656565657</v>
      </c>
    </row>
    <row r="17" spans="1:11" x14ac:dyDescent="0.2">
      <c r="A17">
        <v>110202</v>
      </c>
      <c r="B17" t="s">
        <v>30</v>
      </c>
      <c r="C17" s="1">
        <v>0</v>
      </c>
      <c r="D17" s="1">
        <v>1150000000</v>
      </c>
      <c r="E17" s="3">
        <f t="shared" si="1"/>
        <v>1150000000</v>
      </c>
      <c r="F17" s="1">
        <v>11616162</v>
      </c>
      <c r="G17" s="1">
        <v>0</v>
      </c>
      <c r="H17" s="3">
        <f t="shared" si="2"/>
        <v>11616162</v>
      </c>
      <c r="I17" s="3">
        <f t="shared" si="3"/>
        <v>11616162</v>
      </c>
      <c r="J17" s="3">
        <f t="shared" si="4"/>
        <v>1150000000</v>
      </c>
      <c r="K17" s="3">
        <f t="shared" si="5"/>
        <v>1161616162</v>
      </c>
    </row>
    <row r="18" spans="1:11" x14ac:dyDescent="0.2">
      <c r="C18" s="1"/>
      <c r="D18" s="1"/>
      <c r="E18" s="3">
        <f t="shared" si="1"/>
        <v>0</v>
      </c>
      <c r="F18" s="1"/>
      <c r="G18" s="1"/>
      <c r="H18" s="3">
        <f t="shared" si="2"/>
        <v>0</v>
      </c>
      <c r="I18" s="3">
        <f t="shared" si="3"/>
        <v>0</v>
      </c>
      <c r="J18" s="3">
        <f t="shared" si="4"/>
        <v>0</v>
      </c>
      <c r="K18" s="3">
        <f t="shared" si="5"/>
        <v>0</v>
      </c>
    </row>
    <row r="19" spans="1:11" x14ac:dyDescent="0.2">
      <c r="C19" s="1"/>
      <c r="D19" s="1"/>
      <c r="E19" s="3">
        <f t="shared" si="1"/>
        <v>0</v>
      </c>
      <c r="F19" s="1"/>
      <c r="G19" s="1"/>
      <c r="H19" s="3">
        <f t="shared" si="2"/>
        <v>0</v>
      </c>
      <c r="I19" s="3">
        <f t="shared" si="3"/>
        <v>0</v>
      </c>
      <c r="J19" s="3">
        <f t="shared" si="4"/>
        <v>0</v>
      </c>
      <c r="K19" s="3">
        <f t="shared" si="5"/>
        <v>0</v>
      </c>
    </row>
    <row r="20" spans="1:11" x14ac:dyDescent="0.2">
      <c r="C20" s="1"/>
      <c r="D20" s="1"/>
      <c r="E20" s="1"/>
      <c r="F20" s="1"/>
      <c r="G20" s="1"/>
      <c r="H20" s="1"/>
      <c r="I20" s="1"/>
      <c r="J20" s="1"/>
      <c r="K20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61F7-89E7-F642-8EEB-4A485056F2F6}">
  <dimension ref="A1:D13"/>
  <sheetViews>
    <sheetView zoomScale="150" zoomScaleNormal="150" workbookViewId="0">
      <selection activeCell="D26" sqref="D26"/>
    </sheetView>
  </sheetViews>
  <sheetFormatPr baseColWidth="10" defaultRowHeight="15" x14ac:dyDescent="0.2"/>
  <cols>
    <col min="1" max="1" width="17.33203125" bestFit="1" customWidth="1"/>
    <col min="2" max="2" width="37" customWidth="1"/>
    <col min="3" max="3" width="17.33203125" bestFit="1" customWidth="1"/>
    <col min="4" max="4" width="39.33203125" bestFit="1" customWidth="1"/>
  </cols>
  <sheetData>
    <row r="1" spans="1:4" x14ac:dyDescent="0.2">
      <c r="A1" t="s">
        <v>140</v>
      </c>
    </row>
    <row r="2" spans="1:4" x14ac:dyDescent="0.2">
      <c r="A2" t="s">
        <v>159</v>
      </c>
      <c r="B2" t="s">
        <v>158</v>
      </c>
      <c r="C2" t="s">
        <v>160</v>
      </c>
      <c r="D2" t="s">
        <v>150</v>
      </c>
    </row>
    <row r="3" spans="1:4" x14ac:dyDescent="0.2">
      <c r="A3" s="1">
        <v>33558550000</v>
      </c>
      <c r="B3" t="s">
        <v>47</v>
      </c>
      <c r="C3" s="1">
        <v>24464550000</v>
      </c>
      <c r="D3" t="s">
        <v>141</v>
      </c>
    </row>
    <row r="4" spans="1:4" x14ac:dyDescent="0.2">
      <c r="A4" s="1">
        <v>6006000000</v>
      </c>
      <c r="B4" t="s">
        <v>84</v>
      </c>
      <c r="C4" s="1">
        <v>9300000000</v>
      </c>
      <c r="D4" t="s">
        <v>142</v>
      </c>
    </row>
    <row r="5" spans="1:4" x14ac:dyDescent="0.2">
      <c r="A5" s="1">
        <v>10000000000</v>
      </c>
      <c r="B5" t="s">
        <v>151</v>
      </c>
      <c r="C5" s="1">
        <v>15800000000</v>
      </c>
      <c r="D5" t="s">
        <v>143</v>
      </c>
    </row>
    <row r="6" spans="1:4" x14ac:dyDescent="0.2">
      <c r="A6" s="3">
        <f>SUM(A3:A5)</f>
        <v>49564550000</v>
      </c>
      <c r="B6" t="s">
        <v>152</v>
      </c>
      <c r="C6" s="3">
        <f>SUM(C3:C5)</f>
        <v>49564550000</v>
      </c>
      <c r="D6" t="s">
        <v>144</v>
      </c>
    </row>
    <row r="7" spans="1:4" x14ac:dyDescent="0.2">
      <c r="A7" s="1">
        <v>3802982596</v>
      </c>
      <c r="B7" t="s">
        <v>153</v>
      </c>
      <c r="C7" s="1">
        <v>4280000000</v>
      </c>
      <c r="D7" t="s">
        <v>145</v>
      </c>
    </row>
    <row r="8" spans="1:4" x14ac:dyDescent="0.2">
      <c r="A8" s="1">
        <v>477017404</v>
      </c>
      <c r="B8" t="s">
        <v>154</v>
      </c>
      <c r="C8" s="3">
        <f>C6+C7</f>
        <v>53844550000</v>
      </c>
      <c r="D8" t="s">
        <v>146</v>
      </c>
    </row>
    <row r="9" spans="1:4" x14ac:dyDescent="0.2">
      <c r="A9" s="1">
        <f>A6+A7+A8</f>
        <v>53844550000</v>
      </c>
      <c r="B9" t="s">
        <v>155</v>
      </c>
      <c r="C9" s="1">
        <v>63773759000</v>
      </c>
      <c r="D9" t="s">
        <v>147</v>
      </c>
    </row>
    <row r="10" spans="1:4" x14ac:dyDescent="0.2">
      <c r="A10" s="1">
        <v>63773759000</v>
      </c>
      <c r="B10" t="s">
        <v>156</v>
      </c>
      <c r="C10" s="3">
        <f>C9+C6+C7</f>
        <v>117618309000</v>
      </c>
      <c r="D10" t="s">
        <v>59</v>
      </c>
    </row>
    <row r="11" spans="1:4" x14ac:dyDescent="0.2">
      <c r="A11" s="3">
        <f>A10+A9</f>
        <v>117618309000</v>
      </c>
      <c r="B11" t="s">
        <v>59</v>
      </c>
      <c r="C11" s="1">
        <v>4823000000</v>
      </c>
      <c r="D11" t="s">
        <v>148</v>
      </c>
    </row>
    <row r="12" spans="1:4" x14ac:dyDescent="0.2">
      <c r="A12" s="1">
        <v>4823000000</v>
      </c>
      <c r="B12" t="s">
        <v>148</v>
      </c>
      <c r="C12" s="3">
        <f>C10-C11</f>
        <v>112795309000</v>
      </c>
      <c r="D12" t="s">
        <v>149</v>
      </c>
    </row>
    <row r="13" spans="1:4" x14ac:dyDescent="0.2">
      <c r="A13" s="3">
        <f>A11-A12</f>
        <v>112795309000</v>
      </c>
      <c r="B13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F96F-AA75-9740-B181-55C5C8120B80}">
  <dimension ref="A2:E16"/>
  <sheetViews>
    <sheetView workbookViewId="0">
      <selection activeCell="B14" sqref="A2:B14"/>
    </sheetView>
  </sheetViews>
  <sheetFormatPr baseColWidth="10" defaultRowHeight="15" x14ac:dyDescent="0.2"/>
  <cols>
    <col min="1" max="1" width="49.5" customWidth="1"/>
    <col min="2" max="2" width="14.6640625" bestFit="1" customWidth="1"/>
  </cols>
  <sheetData>
    <row r="2" spans="1:5" x14ac:dyDescent="0.2">
      <c r="A2" t="s">
        <v>40</v>
      </c>
      <c r="B2" s="4">
        <f>SUM(B3:B8)</f>
        <v>24464549990</v>
      </c>
    </row>
    <row r="3" spans="1:5" x14ac:dyDescent="0.2">
      <c r="A3" t="s">
        <v>41</v>
      </c>
      <c r="B3" s="1">
        <v>20840000000</v>
      </c>
      <c r="C3" s="1"/>
      <c r="D3" s="1"/>
      <c r="E3" s="1"/>
    </row>
    <row r="4" spans="1:5" x14ac:dyDescent="0.2">
      <c r="A4" t="s">
        <v>42</v>
      </c>
      <c r="B4" s="1">
        <v>0</v>
      </c>
      <c r="C4" s="1"/>
      <c r="D4" s="1"/>
      <c r="E4" s="1"/>
    </row>
    <row r="5" spans="1:5" x14ac:dyDescent="0.2">
      <c r="A5" t="s">
        <v>43</v>
      </c>
      <c r="B5" s="1">
        <v>1814657570</v>
      </c>
      <c r="C5" s="1"/>
      <c r="D5" s="1"/>
      <c r="E5" s="1"/>
    </row>
    <row r="6" spans="1:5" x14ac:dyDescent="0.2">
      <c r="A6" t="s">
        <v>44</v>
      </c>
      <c r="B6" s="1">
        <v>606000000</v>
      </c>
      <c r="C6" s="1"/>
      <c r="D6" s="1"/>
      <c r="E6" s="1"/>
    </row>
    <row r="7" spans="1:5" x14ac:dyDescent="0.2">
      <c r="A7" t="s">
        <v>45</v>
      </c>
      <c r="B7" s="1">
        <v>251353000</v>
      </c>
      <c r="C7" s="1"/>
      <c r="D7" s="1"/>
      <c r="E7" s="1"/>
    </row>
    <row r="8" spans="1:5" x14ac:dyDescent="0.2">
      <c r="A8" t="s">
        <v>46</v>
      </c>
      <c r="B8" s="1">
        <v>952539420</v>
      </c>
      <c r="C8" s="1"/>
      <c r="D8" s="1"/>
      <c r="E8" s="1"/>
    </row>
    <row r="9" spans="1:5" x14ac:dyDescent="0.2">
      <c r="B9" s="1"/>
      <c r="C9" s="1"/>
      <c r="D9" s="1"/>
      <c r="E9" s="1"/>
    </row>
    <row r="10" spans="1:5" x14ac:dyDescent="0.2">
      <c r="A10" t="s">
        <v>47</v>
      </c>
      <c r="B10" s="1">
        <f>B11+B12</f>
        <v>33558550000</v>
      </c>
      <c r="C10" s="1"/>
      <c r="D10" s="1"/>
      <c r="E10" s="1"/>
    </row>
    <row r="11" spans="1:5" x14ac:dyDescent="0.2">
      <c r="A11" t="s">
        <v>48</v>
      </c>
      <c r="B11" s="1">
        <v>22675965481</v>
      </c>
      <c r="C11" s="1"/>
      <c r="D11" s="1"/>
      <c r="E11" s="1"/>
    </row>
    <row r="12" spans="1:5" x14ac:dyDescent="0.2">
      <c r="A12" t="s">
        <v>49</v>
      </c>
      <c r="B12" s="1">
        <v>10882584519</v>
      </c>
      <c r="C12" s="1"/>
      <c r="D12" s="1"/>
      <c r="E12" s="1"/>
    </row>
    <row r="13" spans="1:5" x14ac:dyDescent="0.2">
      <c r="B13" s="1"/>
      <c r="C13" s="1"/>
      <c r="D13" s="1"/>
      <c r="E13" s="1"/>
    </row>
    <row r="14" spans="1:5" x14ac:dyDescent="0.2">
      <c r="A14" t="s">
        <v>50</v>
      </c>
      <c r="B14" s="1">
        <f>B2-B10</f>
        <v>-9094000010</v>
      </c>
      <c r="C14" s="1"/>
      <c r="D14" s="1"/>
      <c r="E14" s="1"/>
    </row>
    <row r="15" spans="1:5" x14ac:dyDescent="0.2">
      <c r="B15" s="1"/>
      <c r="C15" s="1"/>
      <c r="D15" s="1"/>
      <c r="E15" s="1"/>
    </row>
    <row r="16" spans="1:5" x14ac:dyDescent="0.2">
      <c r="B16" s="1"/>
      <c r="C16" s="1"/>
      <c r="D16" s="1"/>
      <c r="E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5FC6-B932-0340-AA64-87FFF61A19CE}">
  <dimension ref="A1:B20"/>
  <sheetViews>
    <sheetView workbookViewId="0">
      <selection activeCell="A2" sqref="A2:XFD2"/>
    </sheetView>
  </sheetViews>
  <sheetFormatPr baseColWidth="10" defaultRowHeight="15" x14ac:dyDescent="0.2"/>
  <cols>
    <col min="1" max="1" width="44.1640625" customWidth="1"/>
    <col min="2" max="2" width="21.5" customWidth="1"/>
  </cols>
  <sheetData>
    <row r="1" spans="1:2" x14ac:dyDescent="0.2">
      <c r="A1" t="s">
        <v>161</v>
      </c>
    </row>
    <row r="3" spans="1:2" x14ac:dyDescent="0.2">
      <c r="B3" t="s">
        <v>163</v>
      </c>
    </row>
    <row r="4" spans="1:2" x14ac:dyDescent="0.2">
      <c r="A4" t="s">
        <v>162</v>
      </c>
      <c r="B4" s="1">
        <v>9300000000</v>
      </c>
    </row>
    <row r="5" spans="1:2" x14ac:dyDescent="0.2">
      <c r="A5" t="s">
        <v>164</v>
      </c>
      <c r="B5" s="1">
        <v>6045000000</v>
      </c>
    </row>
    <row r="6" spans="1:2" x14ac:dyDescent="0.2">
      <c r="A6" t="s">
        <v>165</v>
      </c>
      <c r="B6" s="1">
        <v>3249502000</v>
      </c>
    </row>
    <row r="7" spans="1:2" x14ac:dyDescent="0.2">
      <c r="A7" t="s">
        <v>166</v>
      </c>
      <c r="B7" s="1">
        <v>5498000</v>
      </c>
    </row>
    <row r="8" spans="1:2" x14ac:dyDescent="0.2">
      <c r="A8" t="s">
        <v>167</v>
      </c>
      <c r="B8" s="1">
        <v>6006000000</v>
      </c>
    </row>
    <row r="9" spans="1:2" x14ac:dyDescent="0.2">
      <c r="A9" t="s">
        <v>167</v>
      </c>
      <c r="B9" s="1">
        <v>6006000000</v>
      </c>
    </row>
    <row r="10" spans="1:2" x14ac:dyDescent="0.2">
      <c r="A10" t="s">
        <v>168</v>
      </c>
      <c r="B10" s="1">
        <v>3294502000</v>
      </c>
    </row>
    <row r="11" spans="1:2" x14ac:dyDescent="0.2">
      <c r="B11" s="1"/>
    </row>
    <row r="12" spans="1:2" x14ac:dyDescent="0.2">
      <c r="B12" s="1"/>
    </row>
    <row r="13" spans="1:2" x14ac:dyDescent="0.2">
      <c r="B13" s="1"/>
    </row>
    <row r="14" spans="1:2" x14ac:dyDescent="0.2">
      <c r="B14" s="1"/>
    </row>
    <row r="15" spans="1:2" x14ac:dyDescent="0.2">
      <c r="B15" s="1"/>
    </row>
    <row r="16" spans="1:2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45D6-F954-7E44-AF13-FC7F43241AF2}">
  <dimension ref="A1:E31"/>
  <sheetViews>
    <sheetView workbookViewId="0">
      <selection activeCell="D16" sqref="D16"/>
    </sheetView>
  </sheetViews>
  <sheetFormatPr baseColWidth="10" defaultRowHeight="15" x14ac:dyDescent="0.2"/>
  <cols>
    <col min="2" max="2" width="28.6640625" customWidth="1"/>
    <col min="3" max="3" width="41.5" customWidth="1"/>
    <col min="4" max="4" width="38.1640625" customWidth="1"/>
  </cols>
  <sheetData>
    <row r="1" spans="1:5" x14ac:dyDescent="0.2">
      <c r="D1" t="s">
        <v>62</v>
      </c>
    </row>
    <row r="2" spans="1:5" x14ac:dyDescent="0.2">
      <c r="A2" s="5" t="s">
        <v>51</v>
      </c>
      <c r="B2" s="5"/>
      <c r="C2" s="5" t="s">
        <v>52</v>
      </c>
      <c r="D2" s="5" t="s">
        <v>53</v>
      </c>
      <c r="E2" s="5"/>
    </row>
    <row r="3" spans="1:5" x14ac:dyDescent="0.2">
      <c r="A3">
        <v>1</v>
      </c>
      <c r="B3" t="s">
        <v>63</v>
      </c>
      <c r="C3" t="s">
        <v>54</v>
      </c>
      <c r="D3" s="6">
        <v>1410000</v>
      </c>
      <c r="E3" s="6"/>
    </row>
    <row r="4" spans="1:5" x14ac:dyDescent="0.2">
      <c r="A4">
        <v>2</v>
      </c>
      <c r="B4" t="s">
        <v>63</v>
      </c>
      <c r="C4" t="s">
        <v>55</v>
      </c>
      <c r="D4" s="6">
        <v>3300000</v>
      </c>
      <c r="E4" s="6"/>
    </row>
    <row r="5" spans="1:5" x14ac:dyDescent="0.2">
      <c r="A5">
        <v>3</v>
      </c>
      <c r="B5" t="s">
        <v>63</v>
      </c>
      <c r="C5" t="s">
        <v>56</v>
      </c>
      <c r="D5" s="6">
        <v>400000</v>
      </c>
      <c r="E5" s="6"/>
    </row>
    <row r="6" spans="1:5" x14ac:dyDescent="0.2">
      <c r="A6">
        <v>4</v>
      </c>
      <c r="B6" t="s">
        <v>64</v>
      </c>
      <c r="C6" t="s">
        <v>57</v>
      </c>
      <c r="D6" s="6">
        <v>2640000</v>
      </c>
      <c r="E6" s="6"/>
    </row>
    <row r="7" spans="1:5" x14ac:dyDescent="0.2">
      <c r="A7">
        <v>5</v>
      </c>
      <c r="B7" t="s">
        <v>64</v>
      </c>
      <c r="C7" t="s">
        <v>58</v>
      </c>
      <c r="D7" s="6">
        <v>710000</v>
      </c>
      <c r="E7" s="6"/>
    </row>
    <row r="8" spans="1:5" x14ac:dyDescent="0.2">
      <c r="C8" s="5" t="s">
        <v>59</v>
      </c>
      <c r="D8" s="7">
        <f>SUM(D3:D7)</f>
        <v>8460000</v>
      </c>
      <c r="E8" s="6"/>
    </row>
    <row r="9" spans="1:5" x14ac:dyDescent="0.2">
      <c r="C9" s="5"/>
      <c r="D9" s="7"/>
      <c r="E9" s="7"/>
    </row>
    <row r="10" spans="1:5" x14ac:dyDescent="0.2">
      <c r="A10">
        <v>6</v>
      </c>
      <c r="C10" t="s">
        <v>60</v>
      </c>
      <c r="D10" s="6">
        <v>2001759</v>
      </c>
      <c r="E10" s="6"/>
    </row>
    <row r="11" spans="1:5" x14ac:dyDescent="0.2">
      <c r="C11" s="5" t="s">
        <v>61</v>
      </c>
      <c r="D11" s="7">
        <v>10461759</v>
      </c>
      <c r="E11" s="7"/>
    </row>
    <row r="15" spans="1:5" x14ac:dyDescent="0.2">
      <c r="C15" t="s">
        <v>62</v>
      </c>
    </row>
    <row r="16" spans="1:5" x14ac:dyDescent="0.2">
      <c r="A16" s="5" t="s">
        <v>51</v>
      </c>
      <c r="B16" s="5" t="s">
        <v>65</v>
      </c>
      <c r="C16" s="5" t="s">
        <v>53</v>
      </c>
    </row>
    <row r="17" spans="1:3" x14ac:dyDescent="0.2">
      <c r="A17">
        <v>1</v>
      </c>
      <c r="B17" t="s">
        <v>66</v>
      </c>
      <c r="C17" s="6">
        <v>50000</v>
      </c>
    </row>
    <row r="18" spans="1:3" x14ac:dyDescent="0.2">
      <c r="A18">
        <v>2</v>
      </c>
      <c r="B18" t="s">
        <v>67</v>
      </c>
      <c r="C18" s="6">
        <v>80000</v>
      </c>
    </row>
    <row r="19" spans="1:3" x14ac:dyDescent="0.2">
      <c r="A19">
        <v>3</v>
      </c>
      <c r="B19" t="s">
        <v>68</v>
      </c>
      <c r="C19" s="6">
        <v>1759</v>
      </c>
    </row>
    <row r="20" spans="1:3" x14ac:dyDescent="0.2">
      <c r="A20">
        <v>4</v>
      </c>
      <c r="B20" t="s">
        <v>69</v>
      </c>
      <c r="C20" s="6">
        <v>3202500</v>
      </c>
    </row>
    <row r="21" spans="1:3" x14ac:dyDescent="0.2">
      <c r="A21">
        <v>5</v>
      </c>
      <c r="B21" t="s">
        <v>70</v>
      </c>
      <c r="C21" s="6">
        <v>629300</v>
      </c>
    </row>
    <row r="22" spans="1:3" x14ac:dyDescent="0.2">
      <c r="A22">
        <v>6</v>
      </c>
      <c r="B22" t="s">
        <v>71</v>
      </c>
      <c r="C22" s="6">
        <v>367500</v>
      </c>
    </row>
    <row r="23" spans="1:3" x14ac:dyDescent="0.2">
      <c r="A23">
        <v>7</v>
      </c>
      <c r="B23" t="s">
        <v>72</v>
      </c>
      <c r="C23" s="6">
        <v>2500000</v>
      </c>
    </row>
    <row r="24" spans="1:3" x14ac:dyDescent="0.2">
      <c r="A24">
        <v>8</v>
      </c>
      <c r="B24" t="s">
        <v>73</v>
      </c>
      <c r="C24" s="6">
        <v>850000</v>
      </c>
    </row>
    <row r="25" spans="1:3" x14ac:dyDescent="0.2">
      <c r="A25">
        <v>9</v>
      </c>
      <c r="B25" t="s">
        <v>74</v>
      </c>
      <c r="C25" s="6">
        <v>511000</v>
      </c>
    </row>
    <row r="26" spans="1:3" x14ac:dyDescent="0.2">
      <c r="A26">
        <v>10</v>
      </c>
      <c r="B26" t="s">
        <v>75</v>
      </c>
      <c r="C26" s="6">
        <v>150000</v>
      </c>
    </row>
    <row r="27" spans="1:3" x14ac:dyDescent="0.2">
      <c r="A27">
        <v>11</v>
      </c>
      <c r="B27" t="s">
        <v>76</v>
      </c>
      <c r="C27" s="6">
        <v>650000</v>
      </c>
    </row>
    <row r="28" spans="1:3" x14ac:dyDescent="0.2">
      <c r="A28">
        <v>12</v>
      </c>
      <c r="B28" t="s">
        <v>77</v>
      </c>
      <c r="C28" s="6">
        <v>700000</v>
      </c>
    </row>
    <row r="29" spans="1:3" x14ac:dyDescent="0.2">
      <c r="A29">
        <v>13</v>
      </c>
      <c r="B29" t="s">
        <v>78</v>
      </c>
      <c r="C29" s="6">
        <v>410000</v>
      </c>
    </row>
    <row r="30" spans="1:3" x14ac:dyDescent="0.2">
      <c r="A30">
        <v>14</v>
      </c>
      <c r="B30" t="s">
        <v>79</v>
      </c>
      <c r="C30" s="6">
        <v>360000</v>
      </c>
    </row>
    <row r="31" spans="1:3" x14ac:dyDescent="0.2">
      <c r="B31" s="5" t="s">
        <v>80</v>
      </c>
      <c r="C31" s="7">
        <f>SUM(C17:C30)</f>
        <v>10462059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B349-D071-2A46-A684-94E9F442A69F}">
  <dimension ref="A1:I32"/>
  <sheetViews>
    <sheetView topLeftCell="A6" zoomScale="140" zoomScaleNormal="140" workbookViewId="0">
      <selection activeCell="D32" sqref="A8:D32"/>
    </sheetView>
  </sheetViews>
  <sheetFormatPr baseColWidth="10" defaultRowHeight="15" x14ac:dyDescent="0.2"/>
  <cols>
    <col min="1" max="1" width="27.5" customWidth="1"/>
    <col min="2" max="2" width="18.33203125" customWidth="1"/>
    <col min="3" max="3" width="19.1640625" customWidth="1"/>
    <col min="4" max="4" width="16.6640625" customWidth="1"/>
  </cols>
  <sheetData>
    <row r="1" spans="1:9" x14ac:dyDescent="0.2">
      <c r="A1" t="s">
        <v>81</v>
      </c>
      <c r="D1" t="s">
        <v>108</v>
      </c>
    </row>
    <row r="2" spans="1:9" x14ac:dyDescent="0.2">
      <c r="B2" t="s">
        <v>83</v>
      </c>
      <c r="C2" t="s">
        <v>84</v>
      </c>
      <c r="D2" t="s">
        <v>85</v>
      </c>
    </row>
    <row r="3" spans="1:9" x14ac:dyDescent="0.2">
      <c r="A3" t="s">
        <v>82</v>
      </c>
      <c r="B3" s="1">
        <v>922037320</v>
      </c>
      <c r="C3" s="1">
        <v>1389933000</v>
      </c>
      <c r="D3" s="1">
        <f>B3+C3</f>
        <v>2311970320</v>
      </c>
    </row>
    <row r="7" spans="1:9" x14ac:dyDescent="0.2">
      <c r="A7" t="s">
        <v>86</v>
      </c>
    </row>
    <row r="8" spans="1:9" x14ac:dyDescent="0.2">
      <c r="B8" t="s">
        <v>83</v>
      </c>
      <c r="C8" t="s">
        <v>93</v>
      </c>
    </row>
    <row r="9" spans="1:9" x14ac:dyDescent="0.2">
      <c r="B9" t="s">
        <v>59</v>
      </c>
      <c r="C9" t="s">
        <v>59</v>
      </c>
      <c r="D9" t="s">
        <v>85</v>
      </c>
    </row>
    <row r="10" spans="1:9" x14ac:dyDescent="0.2">
      <c r="A10" s="5" t="s">
        <v>87</v>
      </c>
      <c r="B10" s="4">
        <f>SUM(B11:B24)</f>
        <v>73447845</v>
      </c>
      <c r="C10" s="4">
        <f>SUM(C11:C24)</f>
        <v>10943226</v>
      </c>
      <c r="D10" s="8">
        <f>B10+C10</f>
        <v>84391071</v>
      </c>
      <c r="E10" s="1"/>
      <c r="F10" s="1"/>
      <c r="G10" s="1"/>
      <c r="H10" s="1"/>
      <c r="I10" s="1"/>
    </row>
    <row r="11" spans="1:9" x14ac:dyDescent="0.2">
      <c r="A11" t="s">
        <v>94</v>
      </c>
      <c r="B11" s="1">
        <v>15663620</v>
      </c>
      <c r="C11" s="1">
        <v>3550000</v>
      </c>
      <c r="D11" s="1">
        <f t="shared" ref="D11:D30" si="0">B11+C11</f>
        <v>19213620</v>
      </c>
      <c r="E11" s="1"/>
      <c r="F11" s="1"/>
      <c r="G11" s="1"/>
      <c r="H11" s="1"/>
      <c r="I11" s="1"/>
    </row>
    <row r="12" spans="1:9" x14ac:dyDescent="0.2">
      <c r="A12" t="s">
        <v>95</v>
      </c>
      <c r="B12" s="1">
        <v>7336312</v>
      </c>
      <c r="C12" s="1">
        <v>1871226</v>
      </c>
      <c r="D12" s="1">
        <f t="shared" si="0"/>
        <v>9207538</v>
      </c>
      <c r="E12" s="1"/>
      <c r="F12" s="1"/>
      <c r="G12" s="1"/>
      <c r="H12" s="1"/>
      <c r="I12" s="1"/>
    </row>
    <row r="13" spans="1:9" x14ac:dyDescent="0.2">
      <c r="A13" t="s">
        <v>96</v>
      </c>
      <c r="B13" s="1">
        <v>1300000</v>
      </c>
      <c r="C13" s="1">
        <v>0</v>
      </c>
      <c r="D13" s="1">
        <f t="shared" si="0"/>
        <v>1300000</v>
      </c>
      <c r="E13" s="1"/>
      <c r="F13" s="1"/>
      <c r="G13" s="1"/>
      <c r="H13" s="1"/>
      <c r="I13" s="1"/>
    </row>
    <row r="14" spans="1:9" x14ac:dyDescent="0.2">
      <c r="A14" t="s">
        <v>97</v>
      </c>
      <c r="B14" s="1">
        <v>802879</v>
      </c>
      <c r="C14" s="1">
        <v>1850000</v>
      </c>
      <c r="D14" s="1">
        <f t="shared" si="0"/>
        <v>2652879</v>
      </c>
      <c r="E14" s="1"/>
      <c r="F14" s="1"/>
      <c r="G14" s="1"/>
      <c r="H14" s="1"/>
      <c r="I14" s="1"/>
    </row>
    <row r="15" spans="1:9" x14ac:dyDescent="0.2">
      <c r="A15" t="s">
        <v>98</v>
      </c>
      <c r="B15" s="1">
        <v>1300000</v>
      </c>
      <c r="C15" s="1">
        <v>10000</v>
      </c>
      <c r="D15" s="1">
        <f t="shared" si="0"/>
        <v>1310000</v>
      </c>
      <c r="E15" s="1"/>
      <c r="F15" s="1"/>
      <c r="G15" s="1"/>
      <c r="H15" s="1"/>
      <c r="I15" s="1"/>
    </row>
    <row r="16" spans="1:9" x14ac:dyDescent="0.2">
      <c r="A16" t="s">
        <v>99</v>
      </c>
      <c r="B16" s="1">
        <v>20559213</v>
      </c>
      <c r="C16" s="1">
        <v>3200000</v>
      </c>
      <c r="D16" s="1">
        <f t="shared" si="0"/>
        <v>23759213</v>
      </c>
      <c r="E16" s="1"/>
      <c r="F16" s="1"/>
      <c r="G16" s="1"/>
      <c r="H16" s="1"/>
      <c r="I16" s="1"/>
    </row>
    <row r="17" spans="1:9" x14ac:dyDescent="0.2">
      <c r="A17" t="s">
        <v>100</v>
      </c>
      <c r="B17" s="1">
        <v>240000</v>
      </c>
      <c r="C17" s="1">
        <v>22000</v>
      </c>
      <c r="D17" s="1">
        <f t="shared" si="0"/>
        <v>262000</v>
      </c>
      <c r="E17" s="1"/>
      <c r="F17" s="1"/>
      <c r="G17" s="1"/>
      <c r="H17" s="1"/>
      <c r="I17" s="1"/>
    </row>
    <row r="18" spans="1:9" x14ac:dyDescent="0.2">
      <c r="A18" t="s">
        <v>101</v>
      </c>
      <c r="B18" s="1">
        <v>9000000</v>
      </c>
      <c r="C18" s="1">
        <v>0</v>
      </c>
      <c r="D18" s="1">
        <f t="shared" si="0"/>
        <v>9000000</v>
      </c>
      <c r="E18" s="1"/>
      <c r="F18" s="1"/>
      <c r="G18" s="1"/>
      <c r="H18" s="1"/>
      <c r="I18" s="1"/>
    </row>
    <row r="19" spans="1:9" x14ac:dyDescent="0.2">
      <c r="A19" t="s">
        <v>102</v>
      </c>
      <c r="B19" s="1">
        <v>661100</v>
      </c>
      <c r="C19" s="1">
        <v>70000</v>
      </c>
      <c r="D19" s="1">
        <f t="shared" si="0"/>
        <v>731100</v>
      </c>
      <c r="E19" s="1"/>
      <c r="F19" s="1"/>
      <c r="G19" s="1"/>
      <c r="H19" s="1"/>
      <c r="I19" s="1"/>
    </row>
    <row r="20" spans="1:9" x14ac:dyDescent="0.2">
      <c r="A20" t="s">
        <v>103</v>
      </c>
      <c r="B20" s="1">
        <v>599700</v>
      </c>
      <c r="C20" s="1">
        <v>20000</v>
      </c>
      <c r="D20" s="1">
        <f t="shared" si="0"/>
        <v>619700</v>
      </c>
      <c r="E20" s="1"/>
      <c r="F20" s="1"/>
      <c r="G20" s="1"/>
      <c r="H20" s="1"/>
      <c r="I20" s="1"/>
    </row>
    <row r="21" spans="1:9" x14ac:dyDescent="0.2">
      <c r="A21" t="s">
        <v>104</v>
      </c>
      <c r="B21" s="1">
        <v>12512165</v>
      </c>
      <c r="C21" s="1">
        <v>0</v>
      </c>
      <c r="D21" s="1">
        <f>B21+C21</f>
        <v>12512165</v>
      </c>
      <c r="E21" s="1"/>
      <c r="F21" s="1"/>
      <c r="G21" s="1"/>
      <c r="H21" s="1"/>
      <c r="I21" s="1"/>
    </row>
    <row r="22" spans="1:9" x14ac:dyDescent="0.2">
      <c r="A22" t="s">
        <v>105</v>
      </c>
      <c r="B22" s="1">
        <v>1000000</v>
      </c>
      <c r="C22" s="1">
        <v>0</v>
      </c>
      <c r="D22" s="1">
        <f t="shared" si="0"/>
        <v>1000000</v>
      </c>
      <c r="E22" s="1"/>
      <c r="F22" s="1"/>
      <c r="G22" s="1"/>
      <c r="H22" s="1"/>
      <c r="I22" s="1"/>
    </row>
    <row r="23" spans="1:9" x14ac:dyDescent="0.2">
      <c r="A23" t="s">
        <v>106</v>
      </c>
      <c r="B23" s="1">
        <v>1472856</v>
      </c>
      <c r="C23" s="1">
        <v>350000</v>
      </c>
      <c r="D23" s="1">
        <f t="shared" si="0"/>
        <v>1822856</v>
      </c>
      <c r="E23" s="1"/>
      <c r="F23" s="1"/>
      <c r="G23" s="1"/>
      <c r="H23" s="1"/>
      <c r="I23" s="1"/>
    </row>
    <row r="24" spans="1:9" x14ac:dyDescent="0.2">
      <c r="A24" t="s">
        <v>107</v>
      </c>
      <c r="B24" s="1">
        <v>1000000</v>
      </c>
      <c r="C24" s="1">
        <v>0</v>
      </c>
      <c r="D24" s="1">
        <f t="shared" si="0"/>
        <v>1000000</v>
      </c>
      <c r="E24" s="1"/>
      <c r="F24" s="1"/>
      <c r="G24" s="1"/>
      <c r="H24" s="1"/>
      <c r="I24" s="1"/>
    </row>
    <row r="26" spans="1:9" x14ac:dyDescent="0.2">
      <c r="A26" t="s">
        <v>88</v>
      </c>
      <c r="B26" s="1">
        <v>1852855</v>
      </c>
      <c r="C26" s="1">
        <v>250000</v>
      </c>
      <c r="D26" s="8">
        <f t="shared" si="0"/>
        <v>2102855</v>
      </c>
    </row>
    <row r="27" spans="1:9" x14ac:dyDescent="0.2">
      <c r="A27" t="s">
        <v>89</v>
      </c>
      <c r="B27" s="1">
        <v>234509</v>
      </c>
      <c r="C27" s="1">
        <v>5000</v>
      </c>
      <c r="D27" s="8">
        <f t="shared" si="0"/>
        <v>239509</v>
      </c>
    </row>
    <row r="28" spans="1:9" x14ac:dyDescent="0.2">
      <c r="A28" t="s">
        <v>90</v>
      </c>
      <c r="B28" s="1">
        <v>6232996</v>
      </c>
      <c r="C28" s="1">
        <v>4700000</v>
      </c>
      <c r="D28" s="8">
        <f t="shared" si="0"/>
        <v>10932996</v>
      </c>
    </row>
    <row r="29" spans="1:9" x14ac:dyDescent="0.2">
      <c r="A29" t="s">
        <v>91</v>
      </c>
      <c r="B29" s="1">
        <v>6735514</v>
      </c>
      <c r="C29" s="1">
        <v>26376</v>
      </c>
      <c r="D29" s="8">
        <f t="shared" si="0"/>
        <v>6761890</v>
      </c>
    </row>
    <row r="30" spans="1:9" x14ac:dyDescent="0.2">
      <c r="A30" t="s">
        <v>92</v>
      </c>
      <c r="B30" s="1">
        <v>33776539</v>
      </c>
      <c r="C30" s="1">
        <v>1171795</v>
      </c>
      <c r="D30" s="8">
        <f t="shared" si="0"/>
        <v>34948334</v>
      </c>
    </row>
    <row r="32" spans="1:9" x14ac:dyDescent="0.2">
      <c r="C32" t="s">
        <v>139</v>
      </c>
      <c r="D32" s="4">
        <f>D10+SUM(D26:D30)</f>
        <v>139376655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9736-DAE5-6D4E-BC19-28D03700900E}">
  <dimension ref="A1:B37"/>
  <sheetViews>
    <sheetView zoomScale="140" zoomScaleNormal="140" workbookViewId="0">
      <selection activeCell="D10" sqref="D10"/>
    </sheetView>
  </sheetViews>
  <sheetFormatPr baseColWidth="10" defaultRowHeight="15" x14ac:dyDescent="0.2"/>
  <cols>
    <col min="1" max="1" width="28" customWidth="1"/>
    <col min="2" max="2" width="12.6640625" style="1" bestFit="1" customWidth="1"/>
  </cols>
  <sheetData>
    <row r="1" spans="1:2" x14ac:dyDescent="0.2">
      <c r="A1" t="s">
        <v>109</v>
      </c>
    </row>
    <row r="2" spans="1:2" x14ac:dyDescent="0.2">
      <c r="B2" s="1" t="s">
        <v>138</v>
      </c>
    </row>
    <row r="3" spans="1:2" x14ac:dyDescent="0.2">
      <c r="A3" t="s">
        <v>110</v>
      </c>
      <c r="B3" s="1">
        <v>1000000</v>
      </c>
    </row>
    <row r="4" spans="1:2" x14ac:dyDescent="0.2">
      <c r="A4" t="s">
        <v>111</v>
      </c>
      <c r="B4" s="1">
        <v>300000</v>
      </c>
    </row>
    <row r="5" spans="1:2" x14ac:dyDescent="0.2">
      <c r="A5" t="s">
        <v>112</v>
      </c>
      <c r="B5" s="1">
        <v>800000</v>
      </c>
    </row>
    <row r="6" spans="1:2" x14ac:dyDescent="0.2">
      <c r="A6" t="s">
        <v>113</v>
      </c>
      <c r="B6" s="1">
        <v>200000</v>
      </c>
    </row>
    <row r="7" spans="1:2" x14ac:dyDescent="0.2">
      <c r="A7" t="s">
        <v>114</v>
      </c>
      <c r="B7" s="1">
        <v>200000</v>
      </c>
    </row>
    <row r="8" spans="1:2" x14ac:dyDescent="0.2">
      <c r="A8" t="s">
        <v>115</v>
      </c>
      <c r="B8" s="1">
        <v>40000</v>
      </c>
    </row>
    <row r="9" spans="1:2" x14ac:dyDescent="0.2">
      <c r="A9" t="s">
        <v>116</v>
      </c>
      <c r="B9" s="1">
        <v>1000000</v>
      </c>
    </row>
    <row r="10" spans="1:2" x14ac:dyDescent="0.2">
      <c r="A10" t="s">
        <v>117</v>
      </c>
      <c r="B10" s="1">
        <v>1400000</v>
      </c>
    </row>
    <row r="11" spans="1:2" x14ac:dyDescent="0.2">
      <c r="A11" t="s">
        <v>118</v>
      </c>
      <c r="B11" s="1">
        <v>82170</v>
      </c>
    </row>
    <row r="12" spans="1:2" x14ac:dyDescent="0.2">
      <c r="A12" t="s">
        <v>119</v>
      </c>
      <c r="B12" s="1">
        <v>1000000</v>
      </c>
    </row>
    <row r="13" spans="1:2" x14ac:dyDescent="0.2">
      <c r="A13" t="s">
        <v>120</v>
      </c>
      <c r="B13" s="1">
        <v>1000000</v>
      </c>
    </row>
    <row r="14" spans="1:2" x14ac:dyDescent="0.2">
      <c r="A14" t="s">
        <v>117</v>
      </c>
      <c r="B14" s="1">
        <v>700000</v>
      </c>
    </row>
    <row r="15" spans="1:2" x14ac:dyDescent="0.2">
      <c r="A15" t="s">
        <v>121</v>
      </c>
      <c r="B15" s="1">
        <v>1000000</v>
      </c>
    </row>
    <row r="16" spans="1:2" x14ac:dyDescent="0.2">
      <c r="A16" t="s">
        <v>122</v>
      </c>
      <c r="B16" s="1">
        <v>4000000</v>
      </c>
    </row>
    <row r="17" spans="1:2" x14ac:dyDescent="0.2">
      <c r="A17" t="s">
        <v>120</v>
      </c>
      <c r="B17" s="1">
        <v>500000</v>
      </c>
    </row>
    <row r="18" spans="1:2" x14ac:dyDescent="0.2">
      <c r="A18" t="s">
        <v>123</v>
      </c>
      <c r="B18" s="1">
        <v>500000</v>
      </c>
    </row>
    <row r="19" spans="1:2" x14ac:dyDescent="0.2">
      <c r="A19" t="s">
        <v>118</v>
      </c>
      <c r="B19" s="1">
        <v>1000000</v>
      </c>
    </row>
    <row r="20" spans="1:2" x14ac:dyDescent="0.2">
      <c r="A20" t="s">
        <v>110</v>
      </c>
      <c r="B20" s="1">
        <v>250000</v>
      </c>
    </row>
    <row r="21" spans="1:2" x14ac:dyDescent="0.2">
      <c r="A21" t="s">
        <v>124</v>
      </c>
      <c r="B21" s="1">
        <v>50000</v>
      </c>
    </row>
    <row r="23" spans="1:2" x14ac:dyDescent="0.2">
      <c r="A23" t="s">
        <v>125</v>
      </c>
      <c r="B23" s="1">
        <v>100000</v>
      </c>
    </row>
    <row r="24" spans="1:2" x14ac:dyDescent="0.2">
      <c r="A24" t="s">
        <v>126</v>
      </c>
      <c r="B24" s="1">
        <v>500000</v>
      </c>
    </row>
    <row r="25" spans="1:2" x14ac:dyDescent="0.2">
      <c r="A25" t="s">
        <v>127</v>
      </c>
      <c r="B25" s="1">
        <v>500000</v>
      </c>
    </row>
    <row r="26" spans="1:2" x14ac:dyDescent="0.2">
      <c r="A26" t="s">
        <v>128</v>
      </c>
      <c r="B26" s="1">
        <v>500000</v>
      </c>
    </row>
    <row r="27" spans="1:2" x14ac:dyDescent="0.2">
      <c r="A27" t="s">
        <v>129</v>
      </c>
      <c r="B27" s="1">
        <v>300000</v>
      </c>
    </row>
    <row r="28" spans="1:2" x14ac:dyDescent="0.2">
      <c r="A28" t="s">
        <v>110</v>
      </c>
      <c r="B28" s="1">
        <v>2000000</v>
      </c>
    </row>
    <row r="29" spans="1:2" x14ac:dyDescent="0.2">
      <c r="A29" t="s">
        <v>130</v>
      </c>
      <c r="B29" s="1">
        <v>2000000</v>
      </c>
    </row>
    <row r="30" spans="1:2" x14ac:dyDescent="0.2">
      <c r="A30" t="s">
        <v>131</v>
      </c>
      <c r="B30" s="1">
        <v>1000000</v>
      </c>
    </row>
    <row r="31" spans="1:2" x14ac:dyDescent="0.2">
      <c r="A31" t="s">
        <v>132</v>
      </c>
      <c r="B31" s="1">
        <v>500000</v>
      </c>
    </row>
    <row r="32" spans="1:2" x14ac:dyDescent="0.2">
      <c r="A32" t="s">
        <v>133</v>
      </c>
      <c r="B32" s="1">
        <v>500000</v>
      </c>
    </row>
    <row r="33" spans="1:2" x14ac:dyDescent="0.2">
      <c r="A33" t="s">
        <v>134</v>
      </c>
      <c r="B33" s="1">
        <v>900000</v>
      </c>
    </row>
    <row r="34" spans="1:2" x14ac:dyDescent="0.2">
      <c r="A34" t="s">
        <v>135</v>
      </c>
      <c r="B34" s="1">
        <v>500000</v>
      </c>
    </row>
    <row r="35" spans="1:2" x14ac:dyDescent="0.2">
      <c r="A35" t="s">
        <v>118</v>
      </c>
      <c r="B35" s="1">
        <v>1000000</v>
      </c>
    </row>
    <row r="36" spans="1:2" x14ac:dyDescent="0.2">
      <c r="A36" t="s">
        <v>136</v>
      </c>
      <c r="B36" s="1">
        <v>400000</v>
      </c>
    </row>
    <row r="37" spans="1:2" x14ac:dyDescent="0.2">
      <c r="A37" t="s">
        <v>137</v>
      </c>
      <c r="B37" s="1">
        <v>200000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D931-65F8-134E-8864-119AB0985D39}">
  <dimension ref="A1:E16"/>
  <sheetViews>
    <sheetView workbookViewId="0">
      <selection activeCell="D18" sqref="D18"/>
    </sheetView>
  </sheetViews>
  <sheetFormatPr baseColWidth="10" defaultRowHeight="15" x14ac:dyDescent="0.2"/>
  <cols>
    <col min="2" max="2" width="15" customWidth="1"/>
    <col min="3" max="3" width="27" customWidth="1"/>
    <col min="4" max="4" width="14.6640625" bestFit="1" customWidth="1"/>
    <col min="5" max="5" width="22" customWidth="1"/>
  </cols>
  <sheetData>
    <row r="1" spans="1:5" x14ac:dyDescent="0.2">
      <c r="A1" s="9" t="s">
        <v>169</v>
      </c>
      <c r="B1" s="9"/>
      <c r="C1" s="9"/>
      <c r="D1" s="9"/>
      <c r="E1" s="9"/>
    </row>
    <row r="2" spans="1:5" x14ac:dyDescent="0.2">
      <c r="B2" s="9" t="s">
        <v>158</v>
      </c>
      <c r="C2" s="9"/>
      <c r="E2" t="s">
        <v>150</v>
      </c>
    </row>
    <row r="3" spans="1:5" x14ac:dyDescent="0.2">
      <c r="B3" s="1">
        <v>48529309948</v>
      </c>
      <c r="C3" t="s">
        <v>177</v>
      </c>
      <c r="D3" s="1">
        <v>50443368890</v>
      </c>
      <c r="E3" t="s">
        <v>170</v>
      </c>
    </row>
    <row r="4" spans="1:5" x14ac:dyDescent="0.2">
      <c r="B4" s="1">
        <v>374345109</v>
      </c>
      <c r="C4" t="s">
        <v>178</v>
      </c>
      <c r="D4" s="1">
        <v>227506138</v>
      </c>
      <c r="E4" t="s">
        <v>171</v>
      </c>
    </row>
    <row r="5" spans="1:5" x14ac:dyDescent="0.2">
      <c r="B5" s="1">
        <v>645378602</v>
      </c>
      <c r="C5" t="s">
        <v>179</v>
      </c>
      <c r="D5" s="1">
        <v>1564426760</v>
      </c>
      <c r="E5" t="s">
        <v>172</v>
      </c>
    </row>
    <row r="6" spans="1:5" x14ac:dyDescent="0.2">
      <c r="B6" s="1">
        <v>126794436</v>
      </c>
      <c r="C6" t="s">
        <v>180</v>
      </c>
      <c r="D6" s="1">
        <v>2537140328</v>
      </c>
      <c r="E6" t="s">
        <v>173</v>
      </c>
    </row>
    <row r="7" spans="1:5" x14ac:dyDescent="0.2">
      <c r="B7" s="1">
        <v>4338000</v>
      </c>
      <c r="C7" t="s">
        <v>181</v>
      </c>
      <c r="D7" s="1">
        <v>883363003</v>
      </c>
      <c r="E7" t="s">
        <v>174</v>
      </c>
    </row>
    <row r="8" spans="1:5" x14ac:dyDescent="0.2">
      <c r="B8" s="1">
        <v>1445424025</v>
      </c>
      <c r="C8" t="s">
        <v>182</v>
      </c>
      <c r="D8" s="1">
        <v>867260060</v>
      </c>
      <c r="E8" t="s">
        <v>175</v>
      </c>
    </row>
    <row r="9" spans="1:5" x14ac:dyDescent="0.2">
      <c r="B9" s="1">
        <v>903088517</v>
      </c>
      <c r="C9" t="s">
        <v>183</v>
      </c>
      <c r="D9" s="1">
        <v>7250693821</v>
      </c>
      <c r="E9" t="s">
        <v>176</v>
      </c>
    </row>
    <row r="10" spans="1:5" x14ac:dyDescent="0.2">
      <c r="B10" s="1">
        <v>23411540</v>
      </c>
      <c r="C10" t="s">
        <v>184</v>
      </c>
      <c r="D10" s="1"/>
    </row>
    <row r="11" spans="1:5" x14ac:dyDescent="0.2">
      <c r="B11" s="1">
        <v>1002840993</v>
      </c>
      <c r="C11" t="s">
        <v>185</v>
      </c>
      <c r="D11" s="1"/>
    </row>
    <row r="12" spans="1:5" x14ac:dyDescent="0.2">
      <c r="B12" s="1">
        <v>12202723728</v>
      </c>
      <c r="C12" t="s">
        <v>186</v>
      </c>
      <c r="D12" s="1"/>
    </row>
    <row r="13" spans="1:5" x14ac:dyDescent="0.2">
      <c r="B13" s="1">
        <v>522448950</v>
      </c>
      <c r="C13" t="s">
        <v>187</v>
      </c>
      <c r="D13" s="1"/>
    </row>
    <row r="14" spans="1:5" x14ac:dyDescent="0.2">
      <c r="B14" s="1">
        <v>65780103848</v>
      </c>
      <c r="C14" t="s">
        <v>188</v>
      </c>
      <c r="D14" s="1"/>
    </row>
    <row r="15" spans="1:5" x14ac:dyDescent="0.2">
      <c r="B15" s="1">
        <v>2006344848</v>
      </c>
      <c r="C15" t="s">
        <v>189</v>
      </c>
      <c r="D15" s="1"/>
    </row>
    <row r="16" spans="1:5" x14ac:dyDescent="0.2">
      <c r="B16" s="1">
        <v>63773759000</v>
      </c>
      <c r="C16" t="s">
        <v>85</v>
      </c>
      <c r="D16" s="1">
        <v>63773759000</v>
      </c>
      <c r="E16" t="s">
        <v>85</v>
      </c>
    </row>
  </sheetData>
  <mergeCells count="2">
    <mergeCell ref="A1:E1"/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A614-B3CB-BD45-8834-F19AA2F19DFF}">
  <dimension ref="A1:H43"/>
  <sheetViews>
    <sheetView tabSelected="1" workbookViewId="0">
      <selection activeCell="D19" sqref="D19"/>
    </sheetView>
  </sheetViews>
  <sheetFormatPr baseColWidth="10" defaultRowHeight="15" x14ac:dyDescent="0.2"/>
  <cols>
    <col min="1" max="1" width="32" customWidth="1"/>
    <col min="2" max="2" width="12.6640625" style="4" bestFit="1" customWidth="1"/>
  </cols>
  <sheetData>
    <row r="1" spans="1:8" x14ac:dyDescent="0.2">
      <c r="A1" s="9" t="s">
        <v>190</v>
      </c>
      <c r="B1" s="9"/>
      <c r="C1" s="9"/>
      <c r="D1" s="9"/>
      <c r="E1" s="9"/>
      <c r="F1" s="9"/>
      <c r="G1" s="9"/>
      <c r="H1" s="9"/>
    </row>
    <row r="2" spans="1:8" x14ac:dyDescent="0.2">
      <c r="A2" t="s">
        <v>110</v>
      </c>
      <c r="B2" s="1">
        <v>1000000</v>
      </c>
    </row>
    <row r="3" spans="1:8" x14ac:dyDescent="0.2">
      <c r="A3" t="s">
        <v>111</v>
      </c>
      <c r="B3" s="1">
        <v>300000</v>
      </c>
    </row>
    <row r="4" spans="1:8" x14ac:dyDescent="0.2">
      <c r="A4" t="s">
        <v>112</v>
      </c>
      <c r="B4" s="1">
        <v>800000</v>
      </c>
    </row>
    <row r="5" spans="1:8" x14ac:dyDescent="0.2">
      <c r="A5" t="s">
        <v>113</v>
      </c>
      <c r="B5" s="1">
        <v>200000</v>
      </c>
    </row>
    <row r="6" spans="1:8" x14ac:dyDescent="0.2">
      <c r="A6" t="s">
        <v>191</v>
      </c>
      <c r="B6" s="1">
        <v>200000</v>
      </c>
    </row>
    <row r="7" spans="1:8" x14ac:dyDescent="0.2">
      <c r="A7" t="s">
        <v>115</v>
      </c>
      <c r="B7" s="1">
        <v>40000</v>
      </c>
    </row>
    <row r="8" spans="1:8" x14ac:dyDescent="0.2">
      <c r="A8" t="s">
        <v>192</v>
      </c>
      <c r="B8" s="1">
        <v>1000000</v>
      </c>
    </row>
    <row r="9" spans="1:8" x14ac:dyDescent="0.2">
      <c r="A9" t="s">
        <v>133</v>
      </c>
      <c r="B9" s="1">
        <v>1400000</v>
      </c>
    </row>
    <row r="10" spans="1:8" x14ac:dyDescent="0.2">
      <c r="A10" t="s">
        <v>118</v>
      </c>
      <c r="B10" s="1">
        <v>82170</v>
      </c>
    </row>
    <row r="11" spans="1:8" x14ac:dyDescent="0.2">
      <c r="A11" t="s">
        <v>193</v>
      </c>
      <c r="B11" s="1">
        <v>1000000</v>
      </c>
    </row>
    <row r="12" spans="1:8" x14ac:dyDescent="0.2">
      <c r="A12" t="s">
        <v>194</v>
      </c>
      <c r="B12" s="1">
        <v>1000000</v>
      </c>
    </row>
    <row r="13" spans="1:8" x14ac:dyDescent="0.2">
      <c r="A13" t="s">
        <v>133</v>
      </c>
      <c r="B13" s="1">
        <v>700000</v>
      </c>
      <c r="G13">
        <v>70</v>
      </c>
    </row>
    <row r="14" spans="1:8" x14ac:dyDescent="0.2">
      <c r="A14" t="s">
        <v>195</v>
      </c>
      <c r="B14" s="1">
        <v>1000000</v>
      </c>
      <c r="G14">
        <v>70</v>
      </c>
    </row>
    <row r="15" spans="1:8" x14ac:dyDescent="0.2">
      <c r="A15" t="s">
        <v>196</v>
      </c>
      <c r="B15" s="1">
        <v>4000000</v>
      </c>
      <c r="G15">
        <v>70</v>
      </c>
    </row>
    <row r="16" spans="1:8" x14ac:dyDescent="0.2">
      <c r="A16" t="s">
        <v>194</v>
      </c>
      <c r="B16" s="1">
        <v>500000</v>
      </c>
      <c r="G16">
        <v>100</v>
      </c>
    </row>
    <row r="17" spans="1:7" x14ac:dyDescent="0.2">
      <c r="A17" t="s">
        <v>123</v>
      </c>
      <c r="B17" s="1">
        <v>500000</v>
      </c>
      <c r="G17">
        <v>100</v>
      </c>
    </row>
    <row r="18" spans="1:7" x14ac:dyDescent="0.2">
      <c r="A18" t="s">
        <v>118</v>
      </c>
      <c r="B18" s="1">
        <v>1000000</v>
      </c>
      <c r="G18">
        <v>50</v>
      </c>
    </row>
    <row r="19" spans="1:7" x14ac:dyDescent="0.2">
      <c r="A19" t="s">
        <v>110</v>
      </c>
      <c r="B19" s="1">
        <v>250000</v>
      </c>
      <c r="G19">
        <v>200</v>
      </c>
    </row>
    <row r="20" spans="1:7" x14ac:dyDescent="0.2">
      <c r="A20" t="s">
        <v>124</v>
      </c>
      <c r="B20" s="1">
        <v>50000</v>
      </c>
      <c r="G20">
        <v>200</v>
      </c>
    </row>
    <row r="21" spans="1:7" x14ac:dyDescent="0.2">
      <c r="A21" t="s">
        <v>85</v>
      </c>
      <c r="B21" s="1">
        <f>SUM(B2:B20)</f>
        <v>15022170</v>
      </c>
      <c r="G21">
        <v>20</v>
      </c>
    </row>
    <row r="22" spans="1:7" x14ac:dyDescent="0.2">
      <c r="B22" s="1"/>
      <c r="G22">
        <v>400</v>
      </c>
    </row>
    <row r="23" spans="1:7" x14ac:dyDescent="0.2">
      <c r="A23" t="s">
        <v>125</v>
      </c>
      <c r="B23" s="1">
        <v>100000</v>
      </c>
      <c r="G23">
        <v>100</v>
      </c>
    </row>
    <row r="24" spans="1:7" x14ac:dyDescent="0.2">
      <c r="A24" t="s">
        <v>126</v>
      </c>
      <c r="B24" s="1">
        <v>500000</v>
      </c>
      <c r="G24">
        <v>100</v>
      </c>
    </row>
    <row r="25" spans="1:7" x14ac:dyDescent="0.2">
      <c r="A25" t="s">
        <v>127</v>
      </c>
      <c r="B25" s="1">
        <v>500000</v>
      </c>
      <c r="G25">
        <v>180</v>
      </c>
    </row>
    <row r="26" spans="1:7" x14ac:dyDescent="0.2">
      <c r="A26" t="s">
        <v>197</v>
      </c>
      <c r="B26" s="1">
        <v>500000</v>
      </c>
      <c r="G26">
        <v>100</v>
      </c>
    </row>
    <row r="27" spans="1:7" x14ac:dyDescent="0.2">
      <c r="A27" t="s">
        <v>129</v>
      </c>
      <c r="B27" s="1">
        <v>300000</v>
      </c>
      <c r="G27">
        <v>150</v>
      </c>
    </row>
    <row r="28" spans="1:7" x14ac:dyDescent="0.2">
      <c r="A28" t="s">
        <v>110</v>
      </c>
      <c r="B28" s="1">
        <v>2000000</v>
      </c>
      <c r="G28">
        <v>70</v>
      </c>
    </row>
    <row r="29" spans="1:7" x14ac:dyDescent="0.2">
      <c r="A29" t="s">
        <v>130</v>
      </c>
      <c r="B29" s="1">
        <v>2000000</v>
      </c>
      <c r="G29">
        <v>100</v>
      </c>
    </row>
    <row r="30" spans="1:7" x14ac:dyDescent="0.2">
      <c r="A30" t="s">
        <v>198</v>
      </c>
      <c r="B30" s="1">
        <v>1000000</v>
      </c>
      <c r="G30">
        <v>70</v>
      </c>
    </row>
    <row r="31" spans="1:7" x14ac:dyDescent="0.2">
      <c r="A31" t="s">
        <v>132</v>
      </c>
      <c r="B31" s="1">
        <v>500000</v>
      </c>
      <c r="G31">
        <v>70</v>
      </c>
    </row>
    <row r="32" spans="1:7" x14ac:dyDescent="0.2">
      <c r="A32" t="s">
        <v>133</v>
      </c>
      <c r="B32" s="1">
        <v>500000</v>
      </c>
      <c r="G32">
        <v>150</v>
      </c>
    </row>
    <row r="33" spans="1:7" x14ac:dyDescent="0.2">
      <c r="A33" t="s">
        <v>199</v>
      </c>
      <c r="B33" s="1">
        <v>900000</v>
      </c>
      <c r="G33">
        <v>120</v>
      </c>
    </row>
    <row r="34" spans="1:7" x14ac:dyDescent="0.2">
      <c r="A34" t="s">
        <v>200</v>
      </c>
      <c r="B34" s="1">
        <v>500000</v>
      </c>
      <c r="G34">
        <v>150</v>
      </c>
    </row>
    <row r="35" spans="1:7" x14ac:dyDescent="0.2">
      <c r="A35" t="s">
        <v>118</v>
      </c>
      <c r="B35" s="1">
        <v>1000000</v>
      </c>
      <c r="G35">
        <v>150</v>
      </c>
    </row>
    <row r="36" spans="1:7" x14ac:dyDescent="0.2">
      <c r="A36" t="s">
        <v>136</v>
      </c>
      <c r="B36" s="1">
        <v>400000</v>
      </c>
      <c r="G36">
        <v>120</v>
      </c>
    </row>
    <row r="37" spans="1:7" x14ac:dyDescent="0.2">
      <c r="A37" t="s">
        <v>137</v>
      </c>
      <c r="B37" s="4">
        <v>200000</v>
      </c>
      <c r="G37">
        <v>200</v>
      </c>
    </row>
    <row r="38" spans="1:7" x14ac:dyDescent="0.2">
      <c r="A38" t="s">
        <v>85</v>
      </c>
      <c r="B38" s="4">
        <f>SUM(B23:B37)</f>
        <v>10900000</v>
      </c>
      <c r="G38">
        <v>100</v>
      </c>
    </row>
    <row r="39" spans="1:7" x14ac:dyDescent="0.2">
      <c r="G39">
        <v>50</v>
      </c>
    </row>
    <row r="40" spans="1:7" x14ac:dyDescent="0.2">
      <c r="A40" t="s">
        <v>201</v>
      </c>
      <c r="B40" s="4">
        <v>10000000</v>
      </c>
      <c r="G40">
        <v>50</v>
      </c>
    </row>
    <row r="41" spans="1:7" x14ac:dyDescent="0.2">
      <c r="A41" t="s">
        <v>202</v>
      </c>
      <c r="B41" s="4">
        <v>4060000</v>
      </c>
      <c r="G41">
        <v>50</v>
      </c>
    </row>
    <row r="42" spans="1:7" x14ac:dyDescent="0.2">
      <c r="G42">
        <v>300</v>
      </c>
    </row>
    <row r="43" spans="1:7" x14ac:dyDescent="0.2">
      <c r="G43">
        <v>400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Iran Budget Table 5 - 1404</vt:lpstr>
      <vt:lpstr>Table 1</vt:lpstr>
      <vt:lpstr>table 2</vt:lpstr>
      <vt:lpstr>Table 3</vt:lpstr>
      <vt:lpstr>table 14</vt:lpstr>
      <vt:lpstr>Table  7</vt:lpstr>
      <vt:lpstr>table 8</vt:lpstr>
      <vt:lpstr>Table 11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 Ahmadi</cp:lastModifiedBy>
  <dcterms:created xsi:type="dcterms:W3CDTF">2025-12-29T12:06:30Z</dcterms:created>
  <dcterms:modified xsi:type="dcterms:W3CDTF">2026-01-02T06:56:31Z</dcterms:modified>
</cp:coreProperties>
</file>