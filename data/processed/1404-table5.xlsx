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midreza/Documents/AI-Projects/IranBudget/data/processed/"/>
    </mc:Choice>
  </mc:AlternateContent>
  <xr:revisionPtr revIDLastSave="0" documentId="13_ncr:1_{112F6789-A32F-0540-9A34-D72C8F45255D}" xr6:coauthVersionLast="47" xr6:coauthVersionMax="47" xr10:uidLastSave="{00000000-0000-0000-0000-000000000000}"/>
  <bookViews>
    <workbookView xWindow="19460" yWindow="500" windowWidth="23740" windowHeight="20080" xr2:uid="{A1C43625-39F6-5F48-97AB-0D07967D3E07}"/>
  </bookViews>
  <sheets>
    <sheet name="1404" sheetId="1" r:id="rId1"/>
    <sheet name="1404 aggregate" sheetId="2" r:id="rId2"/>
    <sheet name="1403" sheetId="3" r:id="rId3"/>
    <sheet name="1403 aggregat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43" i="1" l="1"/>
  <c r="F111" i="1"/>
  <c r="C4" i="1"/>
</calcChain>
</file>

<file path=xl/sharedStrings.xml><?xml version="1.0" encoding="utf-8"?>
<sst xmlns="http://schemas.openxmlformats.org/spreadsheetml/2006/main" count="344" uniqueCount="231">
  <si>
    <t>قسمت اول: درآمد‌ها</t>
  </si>
  <si>
    <t>بخش اول: درآمدهای مالیاتی</t>
  </si>
  <si>
    <t>بند اول: مالیات اشخاص حقوقی</t>
  </si>
  <si>
    <t>مالیات علی الحساب اشخاص حقوقی دولتی</t>
  </si>
  <si>
    <t>مالیات عملکرد شرکتهای دولتی</t>
  </si>
  <si>
    <t>مالیات بنگاه‌های اقتصادی، نهاد‌ها و بنیادهای انقلاب اسلامی</t>
  </si>
  <si>
    <t>مالیات اشخاص حقوقی غیردولتی</t>
  </si>
  <si>
    <t>مالیات حاصل از درآمد اتاق‌های پایاپای از سود نگهداری وجد اشخاص</t>
  </si>
  <si>
    <t>مالیات شرکت ها و موسسات وابسته به آستان قدس رضوی</t>
  </si>
  <si>
    <t>درآمد حاصل از مالیات پرداختی آستان قدس رضوی، بنگاه‌های اقتصادی زیرمجموعه نیروهای مسلح</t>
  </si>
  <si>
    <t>مالیات بر درآمد حاصل از فعالیت های تولیدی و معدنی واحد های صنعتی و معدنی</t>
  </si>
  <si>
    <t>درآمد حاصل از صادرات مواد خام و محصولات معدنی</t>
  </si>
  <si>
    <t>اوراق تسویه خزانه و اوراق اسلامی</t>
  </si>
  <si>
    <t>بند دوم: مالیات بر درآمدها</t>
  </si>
  <si>
    <t>مالیات حقوق کارکنان بخش عمومی</t>
  </si>
  <si>
    <t>مالیات حقوق کارکنان بخش خصوصی</t>
  </si>
  <si>
    <t>مالیات مشاغل</t>
  </si>
  <si>
    <t>مالیات مستغلات</t>
  </si>
  <si>
    <t>مالیاتهای متفرقه درآمد</t>
  </si>
  <si>
    <t>بند سوم: مالیات بر ثروت</t>
  </si>
  <si>
    <t>مالیات بر ارث</t>
  </si>
  <si>
    <t>مالیات‌های اتفاقی</t>
  </si>
  <si>
    <t>مالیات نقل و انتقال سرقفلی</t>
  </si>
  <si>
    <t>مالیات نقل و انتقال سهام</t>
  </si>
  <si>
    <t>مالیات نقل و انتقالات املاک</t>
  </si>
  <si>
    <t>حق تمبر و ارواق بهادار</t>
  </si>
  <si>
    <t>مالیات بر انواع خودروهای سواری</t>
  </si>
  <si>
    <t>درآمد حاصل از مالیات بر واحدهای مسکونی خالی</t>
  </si>
  <si>
    <t>بند چهارم: مالیات بر واردات</t>
  </si>
  <si>
    <t>حقوق ورودی سایر کالاها</t>
  </si>
  <si>
    <t>حقوق ورودی خودرو</t>
  </si>
  <si>
    <t>حقوق ورودی دستگاه‌های اجرایی</t>
  </si>
  <si>
    <t>یک درصد عوارض بر واردات</t>
  </si>
  <si>
    <t>حقوق ورودی واردات گوشی‌های همراه بین ۶۰۰ تا ۱۰۰۰ یورو</t>
  </si>
  <si>
    <t>حقوق ورودی واردات گوشی‌های همراه بالای ۱۰۰۰ یورو</t>
  </si>
  <si>
    <t>درآمد حاصل از حقوق گمرکی ماشین‌ آلات و تجهیزات صنعتی، معدنی و کشاورزی</t>
  </si>
  <si>
    <t>درآمد حاصل از موضوع بند ق تبصره ۱</t>
  </si>
  <si>
    <t>بند پنجم: مالیات بر کالاها و خدمات</t>
  </si>
  <si>
    <t>مالیات بر واحد های مسکونی گران قیمت</t>
  </si>
  <si>
    <t>مالیات بر فروش فرآورده‌های نفتی</t>
  </si>
  <si>
    <t>دو درصد مالیات سایر کالاها</t>
  </si>
  <si>
    <t>عوارض خروج مسافر از مرزهای کشور</t>
  </si>
  <si>
    <t>سازمان امور مالیاتی</t>
  </si>
  <si>
    <t>مالیات بر فروش سیگار</t>
  </si>
  <si>
    <t>مالیات بر نقل و انتقالات خودرو</t>
  </si>
  <si>
    <t>مالیات شماره گذاری خودرو</t>
  </si>
  <si>
    <t>مالیات بر ارزش افزوده</t>
  </si>
  <si>
    <t>مالیات سلامت (موضوع ماده (۴۳) قانون مالیات بر ارزش افزوده مصوب ۱۴۰۰</t>
  </si>
  <si>
    <t>عوارض بر ارزش افزوده شهرداری‌ها برای وزارت‌خانه های ورزش و جوانان و آموزش و پرورش</t>
  </si>
  <si>
    <t>مالیات بر مصرف سیگار</t>
  </si>
  <si>
    <t xml:space="preserve">درآمد حاصل از عوارض ارزش افزوده دریافتی از شرکت‌های فناور مستقر در پارک علم و فناوری </t>
  </si>
  <si>
    <t>یک واحد درصد مالیات بر ارزش افزوده سهم متناسب سازی حقوق بازنشستگان</t>
  </si>
  <si>
    <t>بخش دوم: درآمد های ناشی از کمکهای اجتماعی</t>
  </si>
  <si>
    <t>حق بیمه شخص ثابت سرنشین و مازاد</t>
  </si>
  <si>
    <t>بخش سوم:‌درآمدهای حاصل از مالکیت دولت</t>
  </si>
  <si>
    <t>بند اول: سود سهام شرکت‌های دولتی</t>
  </si>
  <si>
    <t>سود سهام ابرازی سایر شرکت‌های دولتی</t>
  </si>
  <si>
    <t>سود سهام ابرازی کلیه شرکت‌های دولتی تابعه وزارت نفت</t>
  </si>
  <si>
    <t>سود سهام ابرازی کلیه شرکت‌های دولتی تابعه وزارت نیرو</t>
  </si>
  <si>
    <t>سود سهام شرکت‌های با سهم دولتی کمتر از پنجاه درصد</t>
  </si>
  <si>
    <t>سود سهام معوقه شرکت‌های دولتی</t>
  </si>
  <si>
    <t>بند سوم: درآمدهای حاصل از اجاره</t>
  </si>
  <si>
    <t>درآمد‌های حاصل از اجاره ساختمان‌ها و اراضی</t>
  </si>
  <si>
    <t>بند چهارم: سایر درآمدهای حاصل از مالکیت دولت</t>
  </si>
  <si>
    <t>دودرصد از ۱/۱۲ هزینه‌ جاری شرکت های دولتی</t>
  </si>
  <si>
    <t>درآمد حاصل از مالکیت دولت در بخش ارتباطات و فناوری</t>
  </si>
  <si>
    <t>نیم درصد درآمد مشمول مالیات بانکهای کشور</t>
  </si>
  <si>
    <t>درآمد حاصل از بهره مالکانه و حقوق دولتی معادن</t>
  </si>
  <si>
    <t>درآمد حاصل از شماره گذاری</t>
  </si>
  <si>
    <t>درآمد حاصل از حق السهم سازمان</t>
  </si>
  <si>
    <t>درآمد حاصل از فعالیتهای نظام تایید صلاحیت</t>
  </si>
  <si>
    <t>درآمد حاصل از بهره مالکانه و حق بهره برداری منابع طبیعی و انتفاع اراضی ملی و دولتی</t>
  </si>
  <si>
    <t>عواید حاصل از اخذ تعرفه برای تعیین و تحویل محدوده های بلامعارض، جهت صودر پروانه اکتشاف</t>
  </si>
  <si>
    <t>درآمد حاصل از حق مالکیت دولت در بخش ارتباطات و فناوری اطلاعات</t>
  </si>
  <si>
    <t>درآمد وزارت صنعت، معدن و تجارت بابت حقوق انحصار</t>
  </si>
  <si>
    <t>درآمد حاصل از فروش تمام نگاشت حامل‌ها رقومی</t>
  </si>
  <si>
    <t>یک درصد از هزینه‌های کلیه شرکت‌های دولتی</t>
  </si>
  <si>
    <t>درآمد حاصل از واریز تا ۷ درصد درآمدهای شرکت‌های زیر مجموعه وزارت نیرو</t>
  </si>
  <si>
    <t>بخش چهارم: درآمدهای حاصل از فروش کالاها و خدمات</t>
  </si>
  <si>
    <t>بند اول: درآمدهای حاصل از خدمات</t>
  </si>
  <si>
    <t>درآمد حاصل از خدمات قضایی</t>
  </si>
  <si>
    <t>درآمد حاضل از خدمات پرتونگاری</t>
  </si>
  <si>
    <t>درآمد حاصل از خدمات آموزشی و فرهنگی</t>
  </si>
  <si>
    <t>درآمد حاصل از خدمات بهداشتی - درمانی</t>
  </si>
  <si>
    <t>درآمد حاصل از خدمات کشاورزی، صنعتی و معدنی</t>
  </si>
  <si>
    <t>درآمد خاصل از خدمات مخابراتی</t>
  </si>
  <si>
    <t>درآمد حاصل از خدمات پژوهشی و تحقیقاتی</t>
  </si>
  <si>
    <t>درآمد حاصل از خدمات آزمایشگاهی</t>
  </si>
  <si>
    <t>درآمد حاصل از خدمات سیاسی</t>
  </si>
  <si>
    <t>درآمد حاصل از هر گونه صدور و تمدید گواهینامه</t>
  </si>
  <si>
    <t>درآمد حاصل از خدمات ثبتی</t>
  </si>
  <si>
    <t>بند دوم: درآمدهای حاصل از فروش کالاها</t>
  </si>
  <si>
    <t>بخش پنجم: درآمدهای حاصل از جرایم و خسارات</t>
  </si>
  <si>
    <t>بخش ششم: درآمدهای متفرقه</t>
  </si>
  <si>
    <t>قسمت دوم: منابع حاصل از واگذاری دارایی‌های سرمایه ای</t>
  </si>
  <si>
    <t>بخش اول: واگذاری دارایی‌های سرمایه‌ای</t>
  </si>
  <si>
    <t>بند اول: منابع حاصل از نفت و فرآورده‌های نفتی</t>
  </si>
  <si>
    <t>منابع حاصل از خالص صادرات گاز طبیعی</t>
  </si>
  <si>
    <t>منابع حاصل از کل ارزش صادرات نفت خانم میعانات گاز</t>
  </si>
  <si>
    <t>سه درصد صادرات نفت خام، میعانات گازی و خالص صادرات گاز طبیعی</t>
  </si>
  <si>
    <t>تحویل نفت خام و میعانات گازی</t>
  </si>
  <si>
    <t>درآمد حاصل از تهاتر فرآورده‌های نفتی دریافتی از واحد‌های تولید داخلی فرآورده‌های نفتی</t>
  </si>
  <si>
    <t>مطالبات ناشی از فروش داخلی نفت و میعانات گازی به پالایشگاه‌ها و پتروشیمی‌ها</t>
  </si>
  <si>
    <t>درآمد حاصل از افزایش نرخ ارز ترجیحی در سال ۱۴۰۴ نسبت به میانگین سال ۱۴۰۳</t>
  </si>
  <si>
    <t>بند دوم: منابع حاصل از فروش و واگذاری اموال منقول و غیر منقول</t>
  </si>
  <si>
    <t>منابع حاصل از فروش ساختمان‌ها و تاسیسات دولتی</t>
  </si>
  <si>
    <t>منابع حاصل از فروش و واگذاری اراضی دولتی</t>
  </si>
  <si>
    <t>منابع حاصل از فروش ماشین آلات و تجهیزات دستگاههای دولتی</t>
  </si>
  <si>
    <t>منابع حاصل از فروش و واگذاری سایر داراییهای سرمایه ای</t>
  </si>
  <si>
    <t>منابع حاصل از فروش اموال تملیکی و فروش از طریق مزایده و حراج ماشین الات راه‌سازی، خودروهای سنگین</t>
  </si>
  <si>
    <t>منابع حاصل از فروش خانه‌های سازمانی</t>
  </si>
  <si>
    <t>منابع حاصل از واگذاری اراضی برای اسکان عشایر</t>
  </si>
  <si>
    <t>سازمان امور عشایری - فروش فروشگاه ها، جایگاه سوخت سنگواره ای</t>
  </si>
  <si>
    <t>منابع حاصل از فروش دارایی‌های وزارت راه و شهرسازی صندوق توسعه حمل و نقل</t>
  </si>
  <si>
    <t>منابع حاصل از فروش اموال و داراییهای منقول و غیر منقول مازاد دولت</t>
  </si>
  <si>
    <t>منابع حاصل از فروش اموال در اجرای قانون مبارزه با مواد مخدر</t>
  </si>
  <si>
    <t>درآمد حاصل از واگذاری و تهاتر اراضی و املاک وزارت راه و شهرسازی</t>
  </si>
  <si>
    <t>درآمد موضع بند الف تبصره ۸</t>
  </si>
  <si>
    <t>واگذاری اموال و دارایی‌های غیرمنقول دولت بابت افزایش سرمایه بانکها و پرداخت مطالب حسابرسی شده تامین اجتماعی</t>
  </si>
  <si>
    <t>درآمد حاصل از فروش اموال غیر منقول مازاد وزارت جهاد کشاورزی</t>
  </si>
  <si>
    <t>واگذاری اموال بابت تسویه بدهی</t>
  </si>
  <si>
    <t>منابع حاصل از فروش اموال و داراییهای مازاد بانکهای دولتی</t>
  </si>
  <si>
    <t>بابت فروش واگذاری اموال و خودروهای مصادره ای و توقیقی</t>
  </si>
  <si>
    <t>بند سوم: منابع حاصل از واگذاری طرح‌های تملک دارایی‌های سرمایه‌ای</t>
  </si>
  <si>
    <t>منابع حاصل از واگذاری طرح‌های تملک دارایی‌های سرمایه ای</t>
  </si>
  <si>
    <t>قسمت سوم: منابع حاصل از واگذاری دارایی‌های مالی</t>
  </si>
  <si>
    <t>بخش اول: واگذاری دارایی‌های مالی</t>
  </si>
  <si>
    <t>بند اول: منابع حاصل از فروش و یا واگذاری انواع اوراق مالی</t>
  </si>
  <si>
    <t>دریافت مطالبات قطعی دولت از اشخاص حقیقی و حقوقی تعاونی و خصوصی</t>
  </si>
  <si>
    <t>خالص منابع ناشی از فروش و یا واگذاری اوراق مالی اسلامی</t>
  </si>
  <si>
    <t xml:space="preserve">درآمد حاصل از اوراق مالی اسلامی فروش نرفته </t>
  </si>
  <si>
    <t>انتشار اوراق درون سالی موضوع بند ب</t>
  </si>
  <si>
    <t xml:space="preserve">اسناد خزانه اسلامی بابت تسویه بدهی شرکتهای وزارت نیرو </t>
  </si>
  <si>
    <t>انتشار انواع اوراق مالی اسلامی جهت افزایش سرمایه بانکها</t>
  </si>
  <si>
    <t>بند دوم: منابع حاصل از استفاده از تسهیلات خارجی</t>
  </si>
  <si>
    <t>بند چهارم: منابع حاصل از دریافت اصل وامها و کمکهای بلاعوض</t>
  </si>
  <si>
    <t>منابع حاصل از دریافت اصل وامهای داخلی دولت</t>
  </si>
  <si>
    <t>منابع حاصل بابت تسویه بدهی ماده  بودجه شرکتهای دولتی بخش آب و دفع فاضلاب</t>
  </si>
  <si>
    <t>کمکهای بلاعوض اشخاص حقیقی، سازمانها و موسسات مالی</t>
  </si>
  <si>
    <t>بند پنجم: منابع حاصل از واگذاری شرکت‌های دولتی</t>
  </si>
  <si>
    <t>منابع حاصل از واگذاری شرکت‌های دولتی</t>
  </si>
  <si>
    <t>منابع حاصل از فروش سهام و سهم الشرکه شرکتهای دولتی وابسته به جهاد کشاورزی</t>
  </si>
  <si>
    <t>منابع حاصل از واگذاری سهام از طریق مزایده عمومی جهت تسویه مطالبات دانشگاهها و دانشگده های علوم پزشکی</t>
  </si>
  <si>
    <t>واگذاری سهام بابت پرداخت بدهی دولت</t>
  </si>
  <si>
    <t>بند ششم: منابع حاصل از برگشتی پرداختهای سالهای قبل</t>
  </si>
  <si>
    <t>منابع حاصل از برگشتی پرداختهای سالهای قبل</t>
  </si>
  <si>
    <t>منابع حاصل از برگشتی از محل تسهیلات اعطایی</t>
  </si>
  <si>
    <t>واریز وجوه اداره شده نزد بانکها</t>
  </si>
  <si>
    <t>منابع حاصل از وصول تسهیلات اعطایی از محل حساب ذخیره ارزی در بانکها</t>
  </si>
  <si>
    <t>بند هفتم: منابع حاصل از استفاده از صندوق توسعه ملی</t>
  </si>
  <si>
    <t xml:space="preserve">منابع حاصل از استفاده از صندوق توسعه ملی </t>
  </si>
  <si>
    <t>جمع کل</t>
  </si>
  <si>
    <t>جمع</t>
  </si>
  <si>
    <t>نهاد ریاست جمهوری</t>
  </si>
  <si>
    <t>شورای مالی امنیت ملی</t>
  </si>
  <si>
    <t>دبیرخانه مجلس خبرگان</t>
  </si>
  <si>
    <t>مجمع تشخیص مصلحت</t>
  </si>
  <si>
    <t>بنیاد ملی نخبگان</t>
  </si>
  <si>
    <t>معاونت علمی و فناوری رییس جمهور</t>
  </si>
  <si>
    <t>سازمان اداری و استخدامی کشور</t>
  </si>
  <si>
    <t>مرکز ملی فضای مجازی کشور</t>
  </si>
  <si>
    <t>مجلس شورای اسلامی</t>
  </si>
  <si>
    <t>دیوان محاسبات کشور</t>
  </si>
  <si>
    <t>شورای نگهبان</t>
  </si>
  <si>
    <t>وزارت اطلاعات</t>
  </si>
  <si>
    <t>سازمان برنامه و بودجه کشور</t>
  </si>
  <si>
    <t>وزارت کشور</t>
  </si>
  <si>
    <t>فرماندهی کل انتظامی جمهوری اسلامی ایران</t>
  </si>
  <si>
    <t>وزارت امور خارجه</t>
  </si>
  <si>
    <t>وزارت دادگستری</t>
  </si>
  <si>
    <t>دادگستری جمهوری اسلامی ایران</t>
  </si>
  <si>
    <t>دیوان عدالت اداری</t>
  </si>
  <si>
    <t>سازمان بازرسی کل کشور</t>
  </si>
  <si>
    <t>سازمان اوقاف و امور خیریه</t>
  </si>
  <si>
    <t>وزارت امور اقتصادی و دارایی</t>
  </si>
  <si>
    <t>وزارت دفاع و پشتیبانی نیروهای مسلح</t>
  </si>
  <si>
    <t>ستاد مشترک ارتش جمهوری اسلامی ایران</t>
  </si>
  <si>
    <t>ستاد مشترک سپاه پاسداران انتقلاب اسلامی</t>
  </si>
  <si>
    <t>ستاد فرماندهی کل نیروهای مسلح جمهوری اسلامی</t>
  </si>
  <si>
    <t>بنیاد حفظ آثار و ارزش‌های دفاع مقدس</t>
  </si>
  <si>
    <t>قرارگاه مرکزی حضرت خاتم‌النبیا</t>
  </si>
  <si>
    <t>قرب بقیه‌الله - کمک و حمایت از موسسات فرهنگی و اجتماعی</t>
  </si>
  <si>
    <t>وزارت علوم تحقیقات و فناوری</t>
  </si>
  <si>
    <t>دبیرخانه شروارای عالی انقلاب فرهنگی</t>
  </si>
  <si>
    <t>جهاد دانشگاهی</t>
  </si>
  <si>
    <t>وزارت میراث فرهنگی گردشگری و صنایع‌دستی</t>
  </si>
  <si>
    <t>وزارت فرهنگ و ارشاد اسلامی</t>
  </si>
  <si>
    <t>دفتر تبلیغات اسلامی حوزه علمیه قم</t>
  </si>
  <si>
    <t>شورای هماهنگی تبلیغات اسلامی</t>
  </si>
  <si>
    <t>شورای عالی حوزه‌های علمیه</t>
  </si>
  <si>
    <t>شورای عالی حوزه علمیه خراسان</t>
  </si>
  <si>
    <t>مرکز خدمات حوزه‌های علمیه</t>
  </si>
  <si>
    <t>موسسه آموزشی و پژوهشی امام خمینی</t>
  </si>
  <si>
    <t>سازمان تبلیغات اسلامی</t>
  </si>
  <si>
    <t>جامعه المصطفی العالمیه</t>
  </si>
  <si>
    <t>وزارت آموزش و پرورش</t>
  </si>
  <si>
    <t>وزارت ورزش و جوانان</t>
  </si>
  <si>
    <t>وزارت بهداشت و درمان و آموزش پزشکی</t>
  </si>
  <si>
    <t>کمیته امداد امام خمینی</t>
  </si>
  <si>
    <t>جمعیت هلال احمر جمهوری اسلامی ایران</t>
  </si>
  <si>
    <t>سازمان بهزیستی کشور</t>
  </si>
  <si>
    <t>بنیاد شهید و امور ایثارگران</t>
  </si>
  <si>
    <t>بنیاد مسکن اسلامی</t>
  </si>
  <si>
    <t>سازمان حفاظت محیط زیست</t>
  </si>
  <si>
    <t>وزارت نفت</t>
  </si>
  <si>
    <t>وزارت نیرو</t>
  </si>
  <si>
    <t>سازمان انرژی اتمی ایران</t>
  </si>
  <si>
    <t>سازمان ملی استاندارد</t>
  </si>
  <si>
    <t>وزارت ارتباطات و فاناوری اطلاعات</t>
  </si>
  <si>
    <t>وزارت جهاد کشاورزی</t>
  </si>
  <si>
    <t>وزارت راه و شهرسازی</t>
  </si>
  <si>
    <t>وزارت تعاون کار و رفاه اجتماعی</t>
  </si>
  <si>
    <t>وزارت صنعت معدن و تجارت</t>
  </si>
  <si>
    <t>سازمان صدا و سیمای جمهوری اسلامی ایران</t>
  </si>
  <si>
    <t>اعتبارات متفرقه</t>
  </si>
  <si>
    <t>مالیات اشخاص حقوقی</t>
  </si>
  <si>
    <t>مالیات بر درآمدها</t>
  </si>
  <si>
    <t>مالیات بر ثروت</t>
  </si>
  <si>
    <t>مالیات بر واردات</t>
  </si>
  <si>
    <t>مالیات بر کالاها و خدمات</t>
  </si>
  <si>
    <t>درآمد های ناشی از کمکهای اجتماعی</t>
  </si>
  <si>
    <t>درآمدهای حاصل از مالکیت دولت</t>
  </si>
  <si>
    <t>درآمدهای حاصل از فروش کالاها و خدمات</t>
  </si>
  <si>
    <t>درآمدهای حاصل از جرایم و خسارات</t>
  </si>
  <si>
    <t>درآمدهای متفرقه</t>
  </si>
  <si>
    <t>منابع حاصل از نفت و فرآورده‌های نفتی</t>
  </si>
  <si>
    <t>منابع حاصل از فروش و واگذاری اموال منقول و غیر منقول</t>
  </si>
  <si>
    <t>منابع حاصل از واگذاری طرح‌های تملک دارایی‌های سرمایه‌ای</t>
  </si>
  <si>
    <t>واگذاری دارایی‌های مالی</t>
  </si>
  <si>
    <t>-</t>
  </si>
  <si>
    <t>‌درآمدهای حاصل از مالکیت دولت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</si>
</sst>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IRANSans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1" applyNumberFormat="1" applyFont="1"/>
    <xf numFmtId="0" fontId="2" fillId="0" borderId="0" xfId="0" applyFont="1"/>
    <xf numFmtId="164" fontId="0" fillId="2" borderId="0" xfId="1" applyNumberFormat="1" applyFont="1" applyFill="1"/>
    <xf numFmtId="164" fontId="3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3A598-02EF-434F-8A8F-78C667E432DD}">
  <dimension ref="A2:F238"/>
  <sheetViews>
    <sheetView tabSelected="1" topLeftCell="A218" zoomScale="150" zoomScaleNormal="150" workbookViewId="0">
      <selection activeCell="E235" sqref="E235"/>
    </sheetView>
  </sheetViews>
  <sheetFormatPr baseColWidth="10" defaultRowHeight="19" x14ac:dyDescent="0.35"/>
  <cols>
    <col min="1" max="1" width="23.33203125" customWidth="1"/>
    <col min="2" max="2" width="28.1640625" style="2" customWidth="1"/>
    <col min="3" max="3" width="17.1640625" style="1" customWidth="1"/>
    <col min="5" max="5" width="14.83203125" customWidth="1"/>
    <col min="6" max="6" width="17.6640625" customWidth="1"/>
    <col min="7" max="7" width="15" bestFit="1" customWidth="1"/>
    <col min="8" max="8" width="16.6640625" customWidth="1"/>
  </cols>
  <sheetData>
    <row r="2" spans="1:3" x14ac:dyDescent="0.35">
      <c r="A2">
        <v>100000</v>
      </c>
      <c r="B2" s="2" t="s">
        <v>0</v>
      </c>
      <c r="C2" s="3">
        <v>28739220000</v>
      </c>
    </row>
    <row r="3" spans="1:3" x14ac:dyDescent="0.35">
      <c r="A3">
        <v>110000</v>
      </c>
      <c r="B3" s="2" t="s">
        <v>1</v>
      </c>
      <c r="C3" s="3">
        <v>21126965178</v>
      </c>
    </row>
    <row r="4" spans="1:3" x14ac:dyDescent="0.35">
      <c r="A4">
        <v>110100</v>
      </c>
      <c r="B4" s="2" t="s">
        <v>2</v>
      </c>
      <c r="C4" s="3">
        <f>SUM(C5:C14)</f>
        <v>8166508049</v>
      </c>
    </row>
    <row r="5" spans="1:3" x14ac:dyDescent="0.35">
      <c r="A5">
        <v>110102</v>
      </c>
      <c r="B5" s="2" t="s">
        <v>3</v>
      </c>
      <c r="C5" s="1">
        <v>374345109</v>
      </c>
    </row>
    <row r="6" spans="1:3" x14ac:dyDescent="0.35">
      <c r="A6">
        <v>110103</v>
      </c>
      <c r="B6" s="2" t="s">
        <v>4</v>
      </c>
      <c r="C6" s="1">
        <v>570000000</v>
      </c>
    </row>
    <row r="7" spans="1:3" x14ac:dyDescent="0.35">
      <c r="A7">
        <v>110104</v>
      </c>
      <c r="B7" s="2" t="s">
        <v>5</v>
      </c>
      <c r="C7" s="1">
        <v>30303030</v>
      </c>
    </row>
    <row r="8" spans="1:3" x14ac:dyDescent="0.35">
      <c r="A8">
        <v>110105</v>
      </c>
      <c r="B8" s="2" t="s">
        <v>6</v>
      </c>
      <c r="C8" s="1">
        <v>6656617991</v>
      </c>
    </row>
    <row r="9" spans="1:3" x14ac:dyDescent="0.35">
      <c r="A9">
        <v>110106</v>
      </c>
      <c r="B9" s="2" t="s">
        <v>7</v>
      </c>
      <c r="C9" s="1">
        <v>5050000</v>
      </c>
    </row>
    <row r="10" spans="1:3" x14ac:dyDescent="0.35">
      <c r="A10">
        <v>110111</v>
      </c>
      <c r="B10" s="2" t="s">
        <v>8</v>
      </c>
      <c r="C10" s="1">
        <v>6060606</v>
      </c>
    </row>
    <row r="11" spans="1:3" x14ac:dyDescent="0.35">
      <c r="A11">
        <v>110112</v>
      </c>
      <c r="B11" s="2" t="s">
        <v>9</v>
      </c>
      <c r="C11" s="1">
        <v>13131313</v>
      </c>
    </row>
    <row r="12" spans="1:3" x14ac:dyDescent="0.35">
      <c r="A12">
        <v>110115</v>
      </c>
      <c r="B12" s="2" t="s">
        <v>10</v>
      </c>
      <c r="C12" s="1">
        <v>350000000</v>
      </c>
    </row>
    <row r="13" spans="1:3" x14ac:dyDescent="0.35">
      <c r="A13">
        <v>110116</v>
      </c>
      <c r="B13" s="2" t="s">
        <v>11</v>
      </c>
      <c r="C13" s="1">
        <v>160000000</v>
      </c>
    </row>
    <row r="14" spans="1:3" x14ac:dyDescent="0.35">
      <c r="A14">
        <v>110117</v>
      </c>
      <c r="B14" s="2" t="s">
        <v>12</v>
      </c>
      <c r="C14" s="1">
        <v>1000000</v>
      </c>
    </row>
    <row r="16" spans="1:3" x14ac:dyDescent="0.35">
      <c r="A16">
        <v>110200</v>
      </c>
      <c r="B16" s="2" t="s">
        <v>13</v>
      </c>
      <c r="C16" s="3">
        <v>3223566661</v>
      </c>
    </row>
    <row r="17" spans="1:3" x14ac:dyDescent="0.35">
      <c r="A17">
        <v>110201</v>
      </c>
      <c r="B17" s="2" t="s">
        <v>14</v>
      </c>
      <c r="C17" s="1">
        <v>656565657</v>
      </c>
    </row>
    <row r="18" spans="1:3" x14ac:dyDescent="0.35">
      <c r="A18">
        <v>110202</v>
      </c>
      <c r="B18" s="2" t="s">
        <v>15</v>
      </c>
      <c r="C18" s="1">
        <v>1161616162</v>
      </c>
    </row>
    <row r="19" spans="1:3" x14ac:dyDescent="0.35">
      <c r="A19">
        <v>110203</v>
      </c>
      <c r="B19" s="2" t="s">
        <v>16</v>
      </c>
    </row>
    <row r="20" spans="1:3" x14ac:dyDescent="0.35">
      <c r="A20">
        <v>110204</v>
      </c>
      <c r="B20" s="2" t="s">
        <v>17</v>
      </c>
    </row>
    <row r="21" spans="1:3" x14ac:dyDescent="0.35">
      <c r="A21">
        <v>110205</v>
      </c>
      <c r="B21" s="2" t="s">
        <v>18</v>
      </c>
    </row>
    <row r="23" spans="1:3" x14ac:dyDescent="0.35">
      <c r="A23">
        <v>110300</v>
      </c>
      <c r="B23" s="2" t="s">
        <v>19</v>
      </c>
      <c r="C23" s="3">
        <v>551716162</v>
      </c>
    </row>
    <row r="24" spans="1:3" x14ac:dyDescent="0.35">
      <c r="A24">
        <v>110301</v>
      </c>
      <c r="B24" s="2" t="s">
        <v>20</v>
      </c>
      <c r="C24" s="1">
        <v>50505051</v>
      </c>
    </row>
    <row r="25" spans="1:3" x14ac:dyDescent="0.35">
      <c r="A25">
        <v>110302</v>
      </c>
      <c r="B25" s="2" t="s">
        <v>21</v>
      </c>
      <c r="C25" s="1">
        <v>1616162</v>
      </c>
    </row>
    <row r="26" spans="1:3" x14ac:dyDescent="0.35">
      <c r="A26">
        <v>110303</v>
      </c>
      <c r="B26" s="2" t="s">
        <v>22</v>
      </c>
      <c r="C26" s="1">
        <v>66666667</v>
      </c>
    </row>
    <row r="27" spans="1:3" x14ac:dyDescent="0.35">
      <c r="A27">
        <v>110304</v>
      </c>
      <c r="B27" s="2" t="s">
        <v>23</v>
      </c>
      <c r="C27" s="1">
        <v>185504040</v>
      </c>
    </row>
    <row r="28" spans="1:3" x14ac:dyDescent="0.35">
      <c r="A28">
        <v>110305</v>
      </c>
      <c r="B28" s="2" t="s">
        <v>24</v>
      </c>
      <c r="C28" s="1">
        <v>121212121</v>
      </c>
    </row>
    <row r="29" spans="1:3" x14ac:dyDescent="0.35">
      <c r="A29">
        <v>110306</v>
      </c>
      <c r="B29" s="2" t="s">
        <v>25</v>
      </c>
      <c r="C29" s="1">
        <v>70707071</v>
      </c>
    </row>
    <row r="30" spans="1:3" x14ac:dyDescent="0.35">
      <c r="A30">
        <v>110307</v>
      </c>
      <c r="B30" s="2" t="s">
        <v>38</v>
      </c>
      <c r="C30" s="1">
        <v>5050505</v>
      </c>
    </row>
    <row r="31" spans="1:3" x14ac:dyDescent="0.35">
      <c r="A31">
        <v>110308</v>
      </c>
      <c r="B31" s="2" t="s">
        <v>26</v>
      </c>
      <c r="C31" s="1">
        <v>45454545</v>
      </c>
    </row>
    <row r="32" spans="1:3" x14ac:dyDescent="0.35">
      <c r="A32">
        <v>110309</v>
      </c>
      <c r="B32" s="2" t="s">
        <v>27</v>
      </c>
      <c r="C32" s="1">
        <v>5000000</v>
      </c>
    </row>
    <row r="34" spans="1:3" x14ac:dyDescent="0.35">
      <c r="A34">
        <v>110400</v>
      </c>
      <c r="B34" s="2" t="s">
        <v>28</v>
      </c>
      <c r="C34" s="3">
        <v>2719050000</v>
      </c>
    </row>
    <row r="35" spans="1:3" x14ac:dyDescent="0.35">
      <c r="A35">
        <v>110401</v>
      </c>
      <c r="B35" s="2" t="s">
        <v>29</v>
      </c>
      <c r="C35" s="1">
        <v>1424837000</v>
      </c>
    </row>
    <row r="36" spans="1:3" x14ac:dyDescent="0.35">
      <c r="A36">
        <v>110402</v>
      </c>
      <c r="B36" s="2" t="s">
        <v>30</v>
      </c>
      <c r="C36" s="1">
        <v>1161270000</v>
      </c>
    </row>
    <row r="37" spans="1:3" x14ac:dyDescent="0.35">
      <c r="A37">
        <v>110403</v>
      </c>
      <c r="B37" s="2" t="s">
        <v>31</v>
      </c>
      <c r="C37" s="1">
        <v>1000</v>
      </c>
    </row>
    <row r="38" spans="1:3" x14ac:dyDescent="0.35">
      <c r="A38">
        <v>110404</v>
      </c>
      <c r="B38" s="2" t="s">
        <v>32</v>
      </c>
      <c r="C38" s="1">
        <v>26250000</v>
      </c>
    </row>
    <row r="39" spans="1:3" x14ac:dyDescent="0.35">
      <c r="A39">
        <v>110405</v>
      </c>
      <c r="B39" s="2" t="s">
        <v>33</v>
      </c>
      <c r="C39" s="1">
        <v>49980000</v>
      </c>
    </row>
    <row r="40" spans="1:3" x14ac:dyDescent="0.35">
      <c r="A40">
        <v>110410</v>
      </c>
      <c r="B40" s="2" t="s">
        <v>34</v>
      </c>
      <c r="C40" s="1">
        <v>3060000</v>
      </c>
    </row>
    <row r="41" spans="1:3" x14ac:dyDescent="0.35">
      <c r="A41">
        <v>110411</v>
      </c>
      <c r="B41" s="2" t="s">
        <v>35</v>
      </c>
      <c r="C41" s="1">
        <v>40392000</v>
      </c>
    </row>
    <row r="42" spans="1:3" x14ac:dyDescent="0.35">
      <c r="A42">
        <v>110418</v>
      </c>
      <c r="B42" s="2" t="s">
        <v>36</v>
      </c>
      <c r="C42" s="1">
        <v>13260000</v>
      </c>
    </row>
    <row r="44" spans="1:3" x14ac:dyDescent="0.35">
      <c r="A44">
        <v>110500</v>
      </c>
      <c r="B44" s="2" t="s">
        <v>37</v>
      </c>
      <c r="C44" s="3">
        <v>6466124306</v>
      </c>
    </row>
    <row r="45" spans="1:3" x14ac:dyDescent="0.35">
      <c r="A45">
        <v>110501</v>
      </c>
      <c r="B45" s="2" t="s">
        <v>39</v>
      </c>
      <c r="C45" s="1">
        <v>80000000</v>
      </c>
    </row>
    <row r="46" spans="1:3" x14ac:dyDescent="0.35">
      <c r="A46">
        <v>110502</v>
      </c>
      <c r="B46" s="2" t="s">
        <v>40</v>
      </c>
      <c r="C46" s="1">
        <v>500000</v>
      </c>
    </row>
    <row r="47" spans="1:3" x14ac:dyDescent="0.35">
      <c r="A47">
        <v>110504</v>
      </c>
      <c r="B47" s="2" t="s">
        <v>41</v>
      </c>
      <c r="C47" s="1">
        <v>35000000</v>
      </c>
    </row>
    <row r="48" spans="1:3" x14ac:dyDescent="0.35">
      <c r="A48">
        <v>110505</v>
      </c>
      <c r="B48" s="2" t="s">
        <v>42</v>
      </c>
      <c r="C48" s="1">
        <v>82045299</v>
      </c>
    </row>
    <row r="49" spans="1:3" x14ac:dyDescent="0.35">
      <c r="A49">
        <v>110506</v>
      </c>
      <c r="B49" s="2" t="s">
        <v>43</v>
      </c>
      <c r="C49" s="1">
        <v>120000000</v>
      </c>
    </row>
    <row r="50" spans="1:3" x14ac:dyDescent="0.35">
      <c r="A50">
        <v>110507</v>
      </c>
      <c r="B50" s="2" t="s">
        <v>44</v>
      </c>
      <c r="C50" s="1">
        <v>310000000</v>
      </c>
    </row>
    <row r="51" spans="1:3" x14ac:dyDescent="0.35">
      <c r="A51">
        <v>110508</v>
      </c>
      <c r="B51" s="2" t="s">
        <v>45</v>
      </c>
      <c r="C51" s="1">
        <v>206919007</v>
      </c>
    </row>
    <row r="52" spans="1:3" x14ac:dyDescent="0.35">
      <c r="A52">
        <v>110512</v>
      </c>
      <c r="B52" s="2" t="s">
        <v>46</v>
      </c>
      <c r="C52" s="1">
        <v>3609480000</v>
      </c>
    </row>
    <row r="53" spans="1:3" x14ac:dyDescent="0.35">
      <c r="A53">
        <v>110513</v>
      </c>
      <c r="B53" s="2" t="s">
        <v>47</v>
      </c>
      <c r="C53" s="1">
        <v>897250000</v>
      </c>
    </row>
    <row r="54" spans="1:3" x14ac:dyDescent="0.35">
      <c r="A54">
        <v>110514</v>
      </c>
      <c r="B54" s="2" t="s">
        <v>48</v>
      </c>
      <c r="C54" s="1">
        <v>107680000</v>
      </c>
    </row>
    <row r="55" spans="1:3" x14ac:dyDescent="0.35">
      <c r="A55">
        <v>110515</v>
      </c>
      <c r="B55" s="2" t="s">
        <v>49</v>
      </c>
      <c r="C55" s="1">
        <v>110000000</v>
      </c>
    </row>
    <row r="56" spans="1:3" x14ac:dyDescent="0.35">
      <c r="A56">
        <v>110517</v>
      </c>
      <c r="B56" s="2" t="s">
        <v>50</v>
      </c>
      <c r="C56" s="1">
        <v>10000000</v>
      </c>
    </row>
    <row r="57" spans="1:3" x14ac:dyDescent="0.35">
      <c r="A57">
        <v>110521</v>
      </c>
      <c r="B57" s="2" t="s">
        <v>51</v>
      </c>
      <c r="C57" s="1">
        <v>897250000</v>
      </c>
    </row>
    <row r="59" spans="1:3" x14ac:dyDescent="0.35">
      <c r="A59">
        <v>120000</v>
      </c>
      <c r="B59" s="2" t="s">
        <v>52</v>
      </c>
      <c r="C59" s="3">
        <v>117840000</v>
      </c>
    </row>
    <row r="60" spans="1:3" x14ac:dyDescent="0.35">
      <c r="A60">
        <v>120102</v>
      </c>
      <c r="B60" s="2" t="s">
        <v>53</v>
      </c>
      <c r="C60" s="1">
        <v>117840000</v>
      </c>
    </row>
    <row r="62" spans="1:3" x14ac:dyDescent="0.35">
      <c r="A62">
        <v>130000</v>
      </c>
      <c r="B62" s="2" t="s">
        <v>54</v>
      </c>
      <c r="C62" s="3">
        <v>1951827876</v>
      </c>
    </row>
    <row r="63" spans="1:3" x14ac:dyDescent="0.35">
      <c r="A63">
        <v>130100</v>
      </c>
      <c r="B63" s="2" t="s">
        <v>55</v>
      </c>
      <c r="C63" s="3">
        <v>999999000</v>
      </c>
    </row>
    <row r="64" spans="1:3" x14ac:dyDescent="0.35">
      <c r="A64">
        <v>130101</v>
      </c>
      <c r="B64" s="2" t="s">
        <v>56</v>
      </c>
      <c r="C64" s="1">
        <v>574632591</v>
      </c>
    </row>
    <row r="65" spans="1:3" x14ac:dyDescent="0.35">
      <c r="A65">
        <v>130102</v>
      </c>
      <c r="B65" s="2" t="s">
        <v>57</v>
      </c>
      <c r="C65" s="1">
        <v>187446743</v>
      </c>
    </row>
    <row r="66" spans="1:3" x14ac:dyDescent="0.35">
      <c r="A66">
        <v>130103</v>
      </c>
      <c r="B66" s="2" t="s">
        <v>58</v>
      </c>
      <c r="C66" s="1">
        <v>2314915</v>
      </c>
    </row>
    <row r="67" spans="1:3" x14ac:dyDescent="0.35">
      <c r="A67">
        <v>130105</v>
      </c>
      <c r="B67" s="2" t="s">
        <v>60</v>
      </c>
      <c r="C67" s="1">
        <v>233934715</v>
      </c>
    </row>
    <row r="68" spans="1:3" x14ac:dyDescent="0.35">
      <c r="A68">
        <v>130108</v>
      </c>
      <c r="B68" s="2" t="s">
        <v>59</v>
      </c>
      <c r="C68" s="1">
        <v>1670036</v>
      </c>
    </row>
    <row r="69" spans="1:3" x14ac:dyDescent="0.35">
      <c r="A69">
        <v>130300</v>
      </c>
      <c r="B69" s="2" t="s">
        <v>61</v>
      </c>
      <c r="C69" s="3">
        <v>32111589</v>
      </c>
    </row>
    <row r="70" spans="1:3" x14ac:dyDescent="0.35">
      <c r="A70">
        <v>130301</v>
      </c>
      <c r="B70" s="2" t="s">
        <v>62</v>
      </c>
      <c r="C70" s="1">
        <v>32111589</v>
      </c>
    </row>
    <row r="71" spans="1:3" x14ac:dyDescent="0.35">
      <c r="A71">
        <v>130400</v>
      </c>
      <c r="B71" s="2" t="s">
        <v>63</v>
      </c>
      <c r="C71" s="3">
        <v>919717287</v>
      </c>
    </row>
    <row r="72" spans="1:3" x14ac:dyDescent="0.35">
      <c r="A72">
        <v>130401</v>
      </c>
      <c r="B72" s="2" t="s">
        <v>64</v>
      </c>
      <c r="C72" s="1">
        <v>499000</v>
      </c>
    </row>
    <row r="73" spans="1:3" x14ac:dyDescent="0.35">
      <c r="A73">
        <v>130404</v>
      </c>
      <c r="B73" s="2" t="s">
        <v>65</v>
      </c>
      <c r="C73" s="1">
        <v>260000000</v>
      </c>
    </row>
    <row r="74" spans="1:3" x14ac:dyDescent="0.35">
      <c r="A74">
        <v>130405</v>
      </c>
      <c r="B74" s="2" t="s">
        <v>66</v>
      </c>
      <c r="C74" s="1">
        <v>1596070</v>
      </c>
    </row>
    <row r="75" spans="1:3" x14ac:dyDescent="0.35">
      <c r="A75">
        <v>130408</v>
      </c>
      <c r="B75" s="2" t="s">
        <v>67</v>
      </c>
      <c r="C75" s="1">
        <v>530002000</v>
      </c>
    </row>
    <row r="76" spans="1:3" x14ac:dyDescent="0.35">
      <c r="A76">
        <v>130413</v>
      </c>
      <c r="B76" s="2" t="s">
        <v>68</v>
      </c>
      <c r="C76" s="1">
        <v>1100000</v>
      </c>
    </row>
    <row r="77" spans="1:3" x14ac:dyDescent="0.35">
      <c r="A77">
        <v>130414</v>
      </c>
      <c r="B77" s="2" t="s">
        <v>69</v>
      </c>
      <c r="C77" s="1">
        <v>2772000</v>
      </c>
    </row>
    <row r="78" spans="1:3" x14ac:dyDescent="0.35">
      <c r="A78">
        <v>130415</v>
      </c>
      <c r="B78" s="2" t="s">
        <v>70</v>
      </c>
      <c r="C78" s="1">
        <v>600000</v>
      </c>
    </row>
    <row r="79" spans="1:3" x14ac:dyDescent="0.35">
      <c r="A79">
        <v>130416</v>
      </c>
      <c r="B79" s="2" t="s">
        <v>71</v>
      </c>
      <c r="C79" s="1">
        <v>1250000</v>
      </c>
    </row>
    <row r="80" spans="1:3" x14ac:dyDescent="0.35">
      <c r="A80">
        <v>130418</v>
      </c>
      <c r="B80" s="2" t="s">
        <v>72</v>
      </c>
      <c r="C80" s="1">
        <v>2000000</v>
      </c>
    </row>
    <row r="81" spans="1:3" x14ac:dyDescent="0.35">
      <c r="A81">
        <v>130420</v>
      </c>
      <c r="B81" s="2" t="s">
        <v>73</v>
      </c>
      <c r="C81" s="1">
        <v>5000</v>
      </c>
    </row>
    <row r="82" spans="1:3" x14ac:dyDescent="0.35">
      <c r="A82">
        <v>130421</v>
      </c>
      <c r="B82" s="2" t="s">
        <v>74</v>
      </c>
      <c r="C82" s="1">
        <v>7500000</v>
      </c>
    </row>
    <row r="83" spans="1:3" x14ac:dyDescent="0.35">
      <c r="A83">
        <v>130422</v>
      </c>
      <c r="B83" s="2" t="s">
        <v>75</v>
      </c>
      <c r="C83" s="1">
        <v>500</v>
      </c>
    </row>
    <row r="84" spans="1:3" x14ac:dyDescent="0.35">
      <c r="A84">
        <v>130426</v>
      </c>
      <c r="B84" s="2" t="s">
        <v>76</v>
      </c>
      <c r="C84" s="1">
        <v>97392717</v>
      </c>
    </row>
    <row r="85" spans="1:3" x14ac:dyDescent="0.35">
      <c r="A85">
        <v>130427</v>
      </c>
      <c r="B85" s="2" t="s">
        <v>77</v>
      </c>
      <c r="C85" s="1">
        <v>15000000</v>
      </c>
    </row>
    <row r="86" spans="1:3" x14ac:dyDescent="0.35">
      <c r="A86">
        <v>140000</v>
      </c>
      <c r="B86" s="2" t="s">
        <v>78</v>
      </c>
      <c r="C86" s="3">
        <v>3142025220</v>
      </c>
    </row>
    <row r="87" spans="1:3" x14ac:dyDescent="0.35">
      <c r="A87">
        <v>140100</v>
      </c>
      <c r="B87" s="2" t="s">
        <v>79</v>
      </c>
      <c r="C87" s="3">
        <v>3080141035</v>
      </c>
    </row>
    <row r="88" spans="1:3" x14ac:dyDescent="0.35">
      <c r="A88">
        <v>140101</v>
      </c>
      <c r="B88" s="2" t="s">
        <v>80</v>
      </c>
      <c r="C88" s="1">
        <v>140101</v>
      </c>
    </row>
    <row r="89" spans="1:3" x14ac:dyDescent="0.35">
      <c r="A89">
        <v>140102</v>
      </c>
      <c r="B89" s="2" t="s">
        <v>81</v>
      </c>
      <c r="C89" s="1">
        <v>200000</v>
      </c>
    </row>
    <row r="90" spans="1:3" x14ac:dyDescent="0.35">
      <c r="A90">
        <v>140103</v>
      </c>
      <c r="B90" s="2" t="s">
        <v>82</v>
      </c>
      <c r="C90" s="1">
        <v>172034831</v>
      </c>
    </row>
    <row r="91" spans="1:3" x14ac:dyDescent="0.35">
      <c r="A91">
        <v>140104</v>
      </c>
      <c r="B91" s="2" t="s">
        <v>83</v>
      </c>
      <c r="C91" s="1">
        <v>1385423258</v>
      </c>
    </row>
    <row r="92" spans="1:3" x14ac:dyDescent="0.35">
      <c r="A92">
        <v>140105</v>
      </c>
      <c r="B92" s="2" t="s">
        <v>84</v>
      </c>
      <c r="C92" s="1">
        <v>19130000</v>
      </c>
    </row>
    <row r="93" spans="1:3" x14ac:dyDescent="0.35">
      <c r="A93">
        <v>140106</v>
      </c>
      <c r="B93" s="2" t="s">
        <v>85</v>
      </c>
      <c r="C93" s="1">
        <v>2350000</v>
      </c>
    </row>
    <row r="94" spans="1:3" x14ac:dyDescent="0.35">
      <c r="A94">
        <v>140107</v>
      </c>
      <c r="B94" s="2" t="s">
        <v>86</v>
      </c>
      <c r="C94" s="1">
        <v>80900205</v>
      </c>
    </row>
    <row r="95" spans="1:3" x14ac:dyDescent="0.35">
      <c r="A95">
        <v>140108</v>
      </c>
      <c r="B95" s="2" t="s">
        <v>87</v>
      </c>
      <c r="C95" s="1">
        <v>4765190</v>
      </c>
    </row>
    <row r="96" spans="1:3" x14ac:dyDescent="0.35">
      <c r="A96">
        <v>140109</v>
      </c>
      <c r="B96" s="2" t="s">
        <v>88</v>
      </c>
      <c r="C96" s="1">
        <v>34662227</v>
      </c>
    </row>
    <row r="97" spans="1:6" x14ac:dyDescent="0.35">
      <c r="A97">
        <v>140110</v>
      </c>
      <c r="B97" s="2" t="s">
        <v>89</v>
      </c>
      <c r="C97" s="1">
        <v>10000000</v>
      </c>
    </row>
    <row r="98" spans="1:6" x14ac:dyDescent="0.35">
      <c r="A98">
        <v>140111</v>
      </c>
      <c r="B98" s="2" t="s">
        <v>90</v>
      </c>
      <c r="C98" s="1">
        <v>23090500</v>
      </c>
    </row>
    <row r="99" spans="1:6" x14ac:dyDescent="0.35">
      <c r="A99">
        <v>0</v>
      </c>
    </row>
    <row r="100" spans="1:6" x14ac:dyDescent="0.35">
      <c r="A100">
        <v>0</v>
      </c>
    </row>
    <row r="101" spans="1:6" x14ac:dyDescent="0.35">
      <c r="A101">
        <v>0</v>
      </c>
    </row>
    <row r="102" spans="1:6" x14ac:dyDescent="0.35">
      <c r="A102">
        <v>0</v>
      </c>
    </row>
    <row r="103" spans="1:6" x14ac:dyDescent="0.35">
      <c r="A103">
        <v>0</v>
      </c>
    </row>
    <row r="104" spans="1:6" x14ac:dyDescent="0.35">
      <c r="A104">
        <v>140200</v>
      </c>
      <c r="B104" s="2" t="s">
        <v>91</v>
      </c>
      <c r="C104" s="1">
        <v>61884185</v>
      </c>
    </row>
    <row r="105" spans="1:6" x14ac:dyDescent="0.35">
      <c r="A105">
        <v>0</v>
      </c>
    </row>
    <row r="106" spans="1:6" x14ac:dyDescent="0.35">
      <c r="A106">
        <v>0</v>
      </c>
    </row>
    <row r="107" spans="1:6" x14ac:dyDescent="0.35">
      <c r="A107">
        <v>0</v>
      </c>
    </row>
    <row r="108" spans="1:6" x14ac:dyDescent="0.35">
      <c r="A108">
        <v>150000</v>
      </c>
      <c r="B108" s="2" t="s">
        <v>92</v>
      </c>
      <c r="C108" s="1">
        <v>359342000</v>
      </c>
    </row>
    <row r="109" spans="1:6" x14ac:dyDescent="0.35">
      <c r="A109">
        <v>160000</v>
      </c>
      <c r="B109" s="2" t="s">
        <v>93</v>
      </c>
      <c r="C109" s="1">
        <v>2041219726</v>
      </c>
    </row>
    <row r="111" spans="1:6" x14ac:dyDescent="0.35">
      <c r="A111">
        <v>200000</v>
      </c>
      <c r="B111" s="2" t="s">
        <v>94</v>
      </c>
      <c r="C111" s="3">
        <v>9305080000</v>
      </c>
      <c r="E111" s="2" t="s">
        <v>94</v>
      </c>
      <c r="F111" s="3">
        <f>C113+C122+C141</f>
        <v>9305080000</v>
      </c>
    </row>
    <row r="112" spans="1:6" x14ac:dyDescent="0.35">
      <c r="A112">
        <v>210000</v>
      </c>
      <c r="B112" s="2" t="s">
        <v>95</v>
      </c>
      <c r="C112" s="1">
        <v>9305080000</v>
      </c>
    </row>
    <row r="113" spans="1:3" x14ac:dyDescent="0.35">
      <c r="A113">
        <v>210100</v>
      </c>
      <c r="B113" s="2" t="s">
        <v>96</v>
      </c>
      <c r="C113" s="3">
        <v>6045000000</v>
      </c>
    </row>
    <row r="114" spans="1:3" x14ac:dyDescent="0.35">
      <c r="A114">
        <v>210101</v>
      </c>
      <c r="B114" s="2" t="s">
        <v>98</v>
      </c>
      <c r="C114" s="1">
        <v>2912770000</v>
      </c>
    </row>
    <row r="115" spans="1:3" x14ac:dyDescent="0.35">
      <c r="A115">
        <v>210102</v>
      </c>
      <c r="B115" s="2" t="s">
        <v>97</v>
      </c>
      <c r="C115" s="1">
        <v>821828000</v>
      </c>
    </row>
    <row r="116" spans="1:3" x14ac:dyDescent="0.35">
      <c r="A116">
        <v>210109</v>
      </c>
      <c r="B116" s="2" t="s">
        <v>99</v>
      </c>
      <c r="C116" s="1">
        <v>340400000</v>
      </c>
    </row>
    <row r="117" spans="1:3" x14ac:dyDescent="0.35">
      <c r="A117">
        <v>210110</v>
      </c>
      <c r="B117" s="2" t="s">
        <v>100</v>
      </c>
      <c r="C117" s="1">
        <v>1000</v>
      </c>
    </row>
    <row r="118" spans="1:3" x14ac:dyDescent="0.35">
      <c r="A118">
        <v>210113</v>
      </c>
      <c r="B118" s="2" t="s">
        <v>100</v>
      </c>
      <c r="C118" s="1">
        <v>1000</v>
      </c>
    </row>
    <row r="119" spans="1:3" x14ac:dyDescent="0.35">
      <c r="A119">
        <v>210116</v>
      </c>
      <c r="B119" s="2" t="s">
        <v>101</v>
      </c>
      <c r="C119" s="1">
        <v>650000000</v>
      </c>
    </row>
    <row r="120" spans="1:3" x14ac:dyDescent="0.35">
      <c r="A120">
        <v>210120</v>
      </c>
      <c r="B120" s="2" t="s">
        <v>102</v>
      </c>
      <c r="C120" s="1">
        <v>300000000</v>
      </c>
    </row>
    <row r="121" spans="1:3" x14ac:dyDescent="0.35">
      <c r="A121">
        <v>210121</v>
      </c>
      <c r="B121" s="2" t="s">
        <v>103</v>
      </c>
      <c r="C121" s="1">
        <v>1020000000</v>
      </c>
    </row>
    <row r="122" spans="1:3" x14ac:dyDescent="0.35">
      <c r="A122">
        <v>210200</v>
      </c>
      <c r="B122" s="2" t="s">
        <v>104</v>
      </c>
      <c r="C122" s="3">
        <v>3254582000</v>
      </c>
    </row>
    <row r="123" spans="1:3" x14ac:dyDescent="0.35">
      <c r="A123">
        <v>210201</v>
      </c>
      <c r="B123" s="2" t="s">
        <v>105</v>
      </c>
      <c r="C123" s="1">
        <v>7000000</v>
      </c>
    </row>
    <row r="124" spans="1:3" x14ac:dyDescent="0.35">
      <c r="A124">
        <v>210202</v>
      </c>
      <c r="B124" s="2" t="s">
        <v>106</v>
      </c>
      <c r="C124" s="1">
        <v>18999000</v>
      </c>
    </row>
    <row r="125" spans="1:3" x14ac:dyDescent="0.35">
      <c r="A125">
        <v>210203</v>
      </c>
      <c r="B125" s="2" t="s">
        <v>107</v>
      </c>
      <c r="C125" s="1">
        <v>21500000</v>
      </c>
    </row>
    <row r="126" spans="1:3" x14ac:dyDescent="0.35">
      <c r="A126">
        <v>210204</v>
      </c>
      <c r="B126" s="2" t="s">
        <v>108</v>
      </c>
      <c r="C126" s="1">
        <v>7580000</v>
      </c>
    </row>
    <row r="127" spans="1:3" x14ac:dyDescent="0.35">
      <c r="A127">
        <v>210207</v>
      </c>
      <c r="B127" s="2" t="s">
        <v>109</v>
      </c>
      <c r="C127" s="1">
        <v>25000000</v>
      </c>
    </row>
    <row r="128" spans="1:3" x14ac:dyDescent="0.35">
      <c r="A128">
        <v>210210</v>
      </c>
      <c r="B128" s="2" t="s">
        <v>110</v>
      </c>
      <c r="C128" s="1">
        <v>3000000</v>
      </c>
    </row>
    <row r="129" spans="1:6" x14ac:dyDescent="0.35">
      <c r="A129">
        <v>210211</v>
      </c>
      <c r="B129" s="2" t="s">
        <v>111</v>
      </c>
      <c r="C129" s="1">
        <v>5000</v>
      </c>
    </row>
    <row r="130" spans="1:6" x14ac:dyDescent="0.35">
      <c r="A130">
        <v>210215</v>
      </c>
      <c r="B130" s="2" t="s">
        <v>112</v>
      </c>
      <c r="C130" s="1">
        <v>15000</v>
      </c>
    </row>
    <row r="131" spans="1:6" x14ac:dyDescent="0.35">
      <c r="A131">
        <v>210219</v>
      </c>
      <c r="B131" s="2" t="s">
        <v>113</v>
      </c>
      <c r="C131" s="1">
        <v>300000</v>
      </c>
    </row>
    <row r="132" spans="1:6" x14ac:dyDescent="0.35">
      <c r="A132">
        <v>210221</v>
      </c>
      <c r="B132" s="2" t="s">
        <v>114</v>
      </c>
      <c r="C132" s="1">
        <v>160679000</v>
      </c>
    </row>
    <row r="133" spans="1:6" x14ac:dyDescent="0.35">
      <c r="A133">
        <v>210224</v>
      </c>
      <c r="B133" s="2" t="s">
        <v>115</v>
      </c>
      <c r="C133" s="1">
        <v>10000000</v>
      </c>
    </row>
    <row r="134" spans="1:6" x14ac:dyDescent="0.35">
      <c r="A134">
        <v>210225</v>
      </c>
      <c r="B134" s="2" t="s">
        <v>121</v>
      </c>
      <c r="C134" s="1">
        <v>1000</v>
      </c>
    </row>
    <row r="135" spans="1:6" x14ac:dyDescent="0.35">
      <c r="A135">
        <v>210234</v>
      </c>
      <c r="B135" s="2" t="s">
        <v>122</v>
      </c>
      <c r="C135" s="1">
        <v>1000</v>
      </c>
    </row>
    <row r="136" spans="1:6" x14ac:dyDescent="0.35">
      <c r="A136">
        <v>210235</v>
      </c>
      <c r="B136" s="2" t="s">
        <v>116</v>
      </c>
      <c r="C136" s="1">
        <v>1000</v>
      </c>
    </row>
    <row r="137" spans="1:6" x14ac:dyDescent="0.35">
      <c r="A137">
        <v>210236</v>
      </c>
      <c r="B137" s="2" t="s">
        <v>117</v>
      </c>
      <c r="C137" s="1">
        <v>500000</v>
      </c>
    </row>
    <row r="138" spans="1:6" x14ac:dyDescent="0.35">
      <c r="A138">
        <v>210238</v>
      </c>
      <c r="B138" s="2" t="s">
        <v>118</v>
      </c>
      <c r="C138" s="1">
        <v>2500000000</v>
      </c>
    </row>
    <row r="139" spans="1:6" x14ac:dyDescent="0.35">
      <c r="A139">
        <v>210239</v>
      </c>
      <c r="B139" s="2" t="s">
        <v>119</v>
      </c>
      <c r="C139" s="1">
        <v>500000000</v>
      </c>
    </row>
    <row r="140" spans="1:6" x14ac:dyDescent="0.35">
      <c r="A140">
        <v>210240</v>
      </c>
      <c r="B140" s="2" t="s">
        <v>120</v>
      </c>
      <c r="C140" s="1">
        <v>1000</v>
      </c>
    </row>
    <row r="141" spans="1:6" x14ac:dyDescent="0.35">
      <c r="A141">
        <v>210300</v>
      </c>
      <c r="B141" s="2" t="s">
        <v>123</v>
      </c>
      <c r="C141" s="3">
        <v>5498000</v>
      </c>
    </row>
    <row r="142" spans="1:6" x14ac:dyDescent="0.35">
      <c r="A142">
        <v>210301</v>
      </c>
      <c r="B142" s="2" t="s">
        <v>124</v>
      </c>
      <c r="C142" s="1">
        <v>5498000</v>
      </c>
    </row>
    <row r="143" spans="1:6" x14ac:dyDescent="0.35">
      <c r="A143">
        <v>300000</v>
      </c>
      <c r="B143" s="2" t="s">
        <v>125</v>
      </c>
      <c r="C143" s="3">
        <v>15800250000</v>
      </c>
      <c r="E143" s="2" t="s">
        <v>125</v>
      </c>
      <c r="F143" s="3">
        <f>C145+C152+C154+C158+C163+C168</f>
        <v>15800250000</v>
      </c>
    </row>
    <row r="144" spans="1:6" x14ac:dyDescent="0.35">
      <c r="A144">
        <v>310000</v>
      </c>
      <c r="B144" s="2" t="s">
        <v>126</v>
      </c>
      <c r="C144" s="1">
        <v>15800250000</v>
      </c>
    </row>
    <row r="145" spans="1:3" x14ac:dyDescent="0.35">
      <c r="A145">
        <v>310100</v>
      </c>
      <c r="B145" s="2" t="s">
        <v>127</v>
      </c>
      <c r="C145" s="3">
        <v>8100003000</v>
      </c>
    </row>
    <row r="146" spans="1:3" x14ac:dyDescent="0.35">
      <c r="A146">
        <v>310106</v>
      </c>
      <c r="B146" s="2" t="s">
        <v>128</v>
      </c>
      <c r="C146" s="1">
        <v>1000</v>
      </c>
    </row>
    <row r="147" spans="1:3" x14ac:dyDescent="0.35">
      <c r="A147">
        <v>310108</v>
      </c>
      <c r="B147" s="2" t="s">
        <v>129</v>
      </c>
      <c r="C147" s="1">
        <v>7000000000</v>
      </c>
    </row>
    <row r="148" spans="1:3" x14ac:dyDescent="0.35">
      <c r="A148">
        <v>310109</v>
      </c>
      <c r="B148" s="2" t="s">
        <v>130</v>
      </c>
      <c r="C148" s="1">
        <v>1000</v>
      </c>
    </row>
    <row r="149" spans="1:3" x14ac:dyDescent="0.35">
      <c r="A149">
        <v>310110</v>
      </c>
      <c r="B149" s="2" t="s">
        <v>131</v>
      </c>
      <c r="C149" s="1">
        <v>1000</v>
      </c>
    </row>
    <row r="150" spans="1:3" x14ac:dyDescent="0.35">
      <c r="A150">
        <v>310111</v>
      </c>
      <c r="B150" s="2" t="s">
        <v>132</v>
      </c>
      <c r="C150" s="1">
        <v>600000000</v>
      </c>
    </row>
    <row r="151" spans="1:3" x14ac:dyDescent="0.35">
      <c r="A151">
        <v>310112</v>
      </c>
      <c r="B151" s="2" t="s">
        <v>133</v>
      </c>
      <c r="C151" s="1">
        <v>500000000</v>
      </c>
    </row>
    <row r="152" spans="1:3" x14ac:dyDescent="0.35">
      <c r="A152">
        <v>310200</v>
      </c>
      <c r="B152" s="2" t="s">
        <v>134</v>
      </c>
      <c r="C152" s="3">
        <v>10000</v>
      </c>
    </row>
    <row r="153" spans="1:3" x14ac:dyDescent="0.35">
      <c r="A153">
        <v>310202</v>
      </c>
    </row>
    <row r="154" spans="1:3" x14ac:dyDescent="0.35">
      <c r="A154">
        <v>310400</v>
      </c>
      <c r="B154" s="2" t="s">
        <v>135</v>
      </c>
      <c r="C154" s="3">
        <v>7237000</v>
      </c>
    </row>
    <row r="155" spans="1:3" x14ac:dyDescent="0.35">
      <c r="A155">
        <v>310402</v>
      </c>
      <c r="B155" s="2" t="s">
        <v>136</v>
      </c>
      <c r="C155" s="1">
        <v>5986000</v>
      </c>
    </row>
    <row r="156" spans="1:3" x14ac:dyDescent="0.35">
      <c r="A156">
        <v>310404</v>
      </c>
      <c r="B156" s="2" t="s">
        <v>137</v>
      </c>
      <c r="C156" s="1">
        <v>1000</v>
      </c>
    </row>
    <row r="157" spans="1:3" x14ac:dyDescent="0.35">
      <c r="A157">
        <v>310408</v>
      </c>
      <c r="B157" s="2" t="s">
        <v>138</v>
      </c>
      <c r="C157" s="1">
        <v>1250000</v>
      </c>
    </row>
    <row r="158" spans="1:3" x14ac:dyDescent="0.35">
      <c r="A158">
        <v>310500</v>
      </c>
      <c r="B158" s="2" t="s">
        <v>139</v>
      </c>
      <c r="C158" s="3">
        <v>2151500000</v>
      </c>
    </row>
    <row r="159" spans="1:3" x14ac:dyDescent="0.35">
      <c r="A159">
        <v>310501</v>
      </c>
      <c r="B159" s="2" t="s">
        <v>140</v>
      </c>
      <c r="C159" s="1">
        <v>1350000000</v>
      </c>
    </row>
    <row r="160" spans="1:3" x14ac:dyDescent="0.35">
      <c r="A160">
        <v>310515</v>
      </c>
      <c r="B160" s="2" t="s">
        <v>141</v>
      </c>
      <c r="C160" s="1">
        <v>1499000</v>
      </c>
    </row>
    <row r="161" spans="1:4" x14ac:dyDescent="0.35">
      <c r="A161">
        <v>310520</v>
      </c>
      <c r="B161" s="2" t="s">
        <v>142</v>
      </c>
      <c r="C161" s="1">
        <v>800000000</v>
      </c>
    </row>
    <row r="162" spans="1:4" x14ac:dyDescent="0.35">
      <c r="A162">
        <v>310521</v>
      </c>
      <c r="B162" s="2" t="s">
        <v>143</v>
      </c>
      <c r="C162" s="1">
        <v>1000</v>
      </c>
    </row>
    <row r="163" spans="1:4" x14ac:dyDescent="0.35">
      <c r="A163">
        <v>310600</v>
      </c>
      <c r="B163" s="2" t="s">
        <v>144</v>
      </c>
      <c r="C163" s="3">
        <v>131500000</v>
      </c>
    </row>
    <row r="164" spans="1:4" x14ac:dyDescent="0.35">
      <c r="A164">
        <v>319601</v>
      </c>
      <c r="B164" s="2" t="s">
        <v>145</v>
      </c>
      <c r="C164" s="1">
        <v>25000000</v>
      </c>
    </row>
    <row r="165" spans="1:4" x14ac:dyDescent="0.35">
      <c r="A165">
        <v>319602</v>
      </c>
      <c r="B165" s="2" t="s">
        <v>146</v>
      </c>
      <c r="C165" s="1">
        <v>31500000</v>
      </c>
    </row>
    <row r="166" spans="1:4" x14ac:dyDescent="0.35">
      <c r="A166">
        <v>310605</v>
      </c>
      <c r="B166" s="2" t="s">
        <v>147</v>
      </c>
      <c r="C166" s="1">
        <v>44000000</v>
      </c>
    </row>
    <row r="167" spans="1:4" x14ac:dyDescent="0.35">
      <c r="A167">
        <v>310606</v>
      </c>
      <c r="B167" s="2" t="s">
        <v>148</v>
      </c>
      <c r="C167" s="1">
        <v>31000000</v>
      </c>
    </row>
    <row r="168" spans="1:4" x14ac:dyDescent="0.35">
      <c r="A168">
        <v>310700</v>
      </c>
      <c r="B168" s="2" t="s">
        <v>149</v>
      </c>
      <c r="C168" s="3">
        <v>5410000000</v>
      </c>
    </row>
    <row r="169" spans="1:4" x14ac:dyDescent="0.35">
      <c r="A169">
        <v>310705</v>
      </c>
      <c r="B169" s="2" t="s">
        <v>150</v>
      </c>
      <c r="C169" s="1">
        <v>5410000000</v>
      </c>
    </row>
    <row r="170" spans="1:4" x14ac:dyDescent="0.35">
      <c r="B170" s="2" t="s">
        <v>151</v>
      </c>
      <c r="C170" s="1">
        <v>53834550000</v>
      </c>
    </row>
    <row r="174" spans="1:4" ht="16" x14ac:dyDescent="0.2">
      <c r="B174"/>
      <c r="C174"/>
    </row>
    <row r="175" spans="1:4" x14ac:dyDescent="0.35">
      <c r="B175" s="2" t="s">
        <v>153</v>
      </c>
      <c r="C175" s="1">
        <v>85591174</v>
      </c>
      <c r="D175" s="4"/>
    </row>
    <row r="176" spans="1:4" x14ac:dyDescent="0.35">
      <c r="B176" s="2" t="s">
        <v>154</v>
      </c>
      <c r="C176" s="1">
        <v>2304855</v>
      </c>
      <c r="D176" s="1"/>
    </row>
    <row r="177" spans="2:4" x14ac:dyDescent="0.35">
      <c r="B177" s="2" t="s">
        <v>155</v>
      </c>
      <c r="C177" s="1">
        <v>449509</v>
      </c>
      <c r="D177" s="1"/>
    </row>
    <row r="178" spans="2:4" x14ac:dyDescent="0.35">
      <c r="B178" s="2" t="s">
        <v>156</v>
      </c>
      <c r="C178" s="1">
        <v>10934996</v>
      </c>
      <c r="D178" s="1"/>
    </row>
    <row r="179" spans="2:4" x14ac:dyDescent="0.35">
      <c r="B179" s="2" t="s">
        <v>157</v>
      </c>
      <c r="C179" s="1">
        <v>6761890</v>
      </c>
      <c r="D179" s="1"/>
    </row>
    <row r="180" spans="2:4" x14ac:dyDescent="0.35">
      <c r="B180" s="2" t="s">
        <v>158</v>
      </c>
      <c r="C180" s="1">
        <v>44948334</v>
      </c>
      <c r="D180" s="1"/>
    </row>
    <row r="181" spans="2:4" x14ac:dyDescent="0.35">
      <c r="B181" s="2" t="s">
        <v>159</v>
      </c>
      <c r="C181" s="1">
        <v>7447890</v>
      </c>
      <c r="D181" s="1"/>
    </row>
    <row r="182" spans="2:4" x14ac:dyDescent="0.35">
      <c r="B182" s="2" t="s">
        <v>160</v>
      </c>
      <c r="C182" s="1">
        <v>6963000</v>
      </c>
      <c r="D182" s="1"/>
    </row>
    <row r="183" spans="2:4" x14ac:dyDescent="0.35">
      <c r="B183" s="2" t="s">
        <v>161</v>
      </c>
      <c r="C183" s="1">
        <v>70126639</v>
      </c>
      <c r="D183" s="1"/>
    </row>
    <row r="184" spans="2:4" x14ac:dyDescent="0.35">
      <c r="B184" s="2" t="s">
        <v>162</v>
      </c>
      <c r="C184" s="1">
        <v>50906000</v>
      </c>
      <c r="D184" s="1"/>
    </row>
    <row r="185" spans="2:4" x14ac:dyDescent="0.35">
      <c r="B185" s="2" t="s">
        <v>163</v>
      </c>
      <c r="C185" s="1">
        <v>9225689</v>
      </c>
      <c r="D185" s="1"/>
    </row>
    <row r="186" spans="2:4" x14ac:dyDescent="0.35">
      <c r="B186" s="2" t="s">
        <v>164</v>
      </c>
      <c r="C186" s="1">
        <v>542587249</v>
      </c>
      <c r="D186" s="1"/>
    </row>
    <row r="187" spans="2:4" x14ac:dyDescent="0.35">
      <c r="B187" s="2" t="s">
        <v>165</v>
      </c>
      <c r="C187" s="1">
        <v>257815119</v>
      </c>
      <c r="D187" s="1"/>
    </row>
    <row r="188" spans="2:4" x14ac:dyDescent="0.35">
      <c r="B188" s="2" t="s">
        <v>166</v>
      </c>
      <c r="C188" s="1">
        <v>344222514</v>
      </c>
      <c r="D188" s="1"/>
    </row>
    <row r="189" spans="2:4" x14ac:dyDescent="0.35">
      <c r="B189" s="2" t="s">
        <v>167</v>
      </c>
      <c r="C189" s="1">
        <v>1155214629</v>
      </c>
      <c r="D189" s="1"/>
    </row>
    <row r="190" spans="2:4" x14ac:dyDescent="0.35">
      <c r="B190" s="2" t="s">
        <v>168</v>
      </c>
      <c r="C190" s="1">
        <v>60142091</v>
      </c>
    </row>
    <row r="191" spans="2:4" x14ac:dyDescent="0.35">
      <c r="B191" s="2" t="s">
        <v>169</v>
      </c>
      <c r="C191" s="1">
        <v>48643608</v>
      </c>
      <c r="D191" s="4"/>
    </row>
    <row r="192" spans="2:4" x14ac:dyDescent="0.35">
      <c r="B192" s="2" t="s">
        <v>170</v>
      </c>
      <c r="C192" s="1">
        <v>1201572871</v>
      </c>
      <c r="D192" s="4"/>
    </row>
    <row r="193" spans="2:4" x14ac:dyDescent="0.35">
      <c r="B193" s="2" t="s">
        <v>171</v>
      </c>
      <c r="C193" s="1">
        <v>11666330</v>
      </c>
      <c r="D193" s="4"/>
    </row>
    <row r="194" spans="2:4" x14ac:dyDescent="0.35">
      <c r="B194" s="2" t="s">
        <v>172</v>
      </c>
      <c r="C194" s="1">
        <v>51996500</v>
      </c>
      <c r="D194" s="4"/>
    </row>
    <row r="195" spans="2:4" x14ac:dyDescent="0.35">
      <c r="B195" s="2" t="s">
        <v>173</v>
      </c>
      <c r="C195" s="1">
        <v>1158500</v>
      </c>
      <c r="D195" s="4"/>
    </row>
    <row r="196" spans="2:4" x14ac:dyDescent="0.35">
      <c r="B196" s="2" t="s">
        <v>174</v>
      </c>
      <c r="C196" s="1">
        <v>739964601</v>
      </c>
    </row>
    <row r="197" spans="2:4" x14ac:dyDescent="0.35">
      <c r="B197" s="2" t="s">
        <v>175</v>
      </c>
      <c r="C197" s="1">
        <v>2452268893</v>
      </c>
    </row>
    <row r="198" spans="2:4" x14ac:dyDescent="0.35">
      <c r="B198" s="2" t="s">
        <v>176</v>
      </c>
      <c r="C198" s="1">
        <v>800518757</v>
      </c>
    </row>
    <row r="199" spans="2:4" x14ac:dyDescent="0.35">
      <c r="B199" s="2" t="s">
        <v>177</v>
      </c>
      <c r="C199" s="1">
        <v>1985985754</v>
      </c>
    </row>
    <row r="200" spans="2:4" x14ac:dyDescent="0.35">
      <c r="B200" s="2" t="s">
        <v>178</v>
      </c>
      <c r="C200" s="1">
        <v>34195599</v>
      </c>
    </row>
    <row r="201" spans="2:4" x14ac:dyDescent="0.35">
      <c r="B201" s="2" t="s">
        <v>179</v>
      </c>
      <c r="C201" s="1">
        <v>9125000</v>
      </c>
    </row>
    <row r="202" spans="2:4" x14ac:dyDescent="0.35">
      <c r="B202" s="2" t="s">
        <v>180</v>
      </c>
      <c r="C202" s="1">
        <v>16934901</v>
      </c>
    </row>
    <row r="203" spans="2:4" x14ac:dyDescent="0.35">
      <c r="B203" s="2" t="s">
        <v>181</v>
      </c>
      <c r="C203" s="1">
        <v>19542589</v>
      </c>
    </row>
    <row r="204" spans="2:4" x14ac:dyDescent="0.35">
      <c r="B204" s="2" t="s">
        <v>182</v>
      </c>
      <c r="C204" s="1">
        <v>1192847837</v>
      </c>
    </row>
    <row r="205" spans="2:4" x14ac:dyDescent="0.35">
      <c r="B205" s="2" t="s">
        <v>183</v>
      </c>
      <c r="C205" s="1">
        <v>10433062</v>
      </c>
    </row>
    <row r="206" spans="2:4" x14ac:dyDescent="0.35">
      <c r="B206" s="2" t="s">
        <v>184</v>
      </c>
      <c r="C206" s="1">
        <v>28659041</v>
      </c>
    </row>
    <row r="207" spans="2:4" x14ac:dyDescent="0.35">
      <c r="B207" s="2" t="s">
        <v>185</v>
      </c>
      <c r="C207" s="1">
        <v>79477500</v>
      </c>
    </row>
    <row r="208" spans="2:4" x14ac:dyDescent="0.35">
      <c r="B208" s="2" t="s">
        <v>186</v>
      </c>
      <c r="C208" s="1">
        <v>141324483</v>
      </c>
    </row>
    <row r="209" spans="2:3" x14ac:dyDescent="0.35">
      <c r="B209" s="2" t="s">
        <v>187</v>
      </c>
      <c r="C209" s="1">
        <v>9141000</v>
      </c>
    </row>
    <row r="210" spans="2:3" x14ac:dyDescent="0.35">
      <c r="B210" s="2" t="s">
        <v>188</v>
      </c>
      <c r="C210" s="1">
        <v>3320000</v>
      </c>
    </row>
    <row r="211" spans="2:3" x14ac:dyDescent="0.35">
      <c r="B211" s="2" t="s">
        <v>189</v>
      </c>
      <c r="C211" s="1">
        <v>88616000</v>
      </c>
    </row>
    <row r="212" spans="2:3" x14ac:dyDescent="0.35">
      <c r="B212" s="2" t="s">
        <v>190</v>
      </c>
      <c r="C212" s="1">
        <v>8873000</v>
      </c>
    </row>
    <row r="213" spans="2:3" x14ac:dyDescent="0.35">
      <c r="B213" s="2" t="s">
        <v>191</v>
      </c>
      <c r="C213" s="1">
        <v>140973158</v>
      </c>
    </row>
    <row r="214" spans="2:3" x14ac:dyDescent="0.35">
      <c r="B214" s="2" t="s">
        <v>192</v>
      </c>
      <c r="C214" s="1">
        <v>4041095</v>
      </c>
    </row>
    <row r="215" spans="2:3" x14ac:dyDescent="0.35">
      <c r="B215" s="2" t="s">
        <v>193</v>
      </c>
      <c r="C215" s="1">
        <v>62580596</v>
      </c>
    </row>
    <row r="216" spans="2:3" x14ac:dyDescent="0.35">
      <c r="B216" s="2" t="s">
        <v>194</v>
      </c>
      <c r="C216" s="1">
        <v>17555000</v>
      </c>
    </row>
    <row r="217" spans="2:3" x14ac:dyDescent="0.35">
      <c r="B217" s="2" t="s">
        <v>195</v>
      </c>
      <c r="C217" s="1">
        <v>3941864917</v>
      </c>
    </row>
    <row r="218" spans="2:3" x14ac:dyDescent="0.35">
      <c r="B218" s="2" t="s">
        <v>196</v>
      </c>
      <c r="C218" s="1">
        <v>224275600</v>
      </c>
    </row>
    <row r="219" spans="2:3" x14ac:dyDescent="0.35">
      <c r="B219" s="2" t="s">
        <v>197</v>
      </c>
      <c r="C219" s="1">
        <v>5791382271</v>
      </c>
    </row>
    <row r="220" spans="2:3" x14ac:dyDescent="0.35">
      <c r="B220" s="2" t="s">
        <v>198</v>
      </c>
      <c r="C220" s="1">
        <v>240308607</v>
      </c>
    </row>
    <row r="221" spans="2:3" x14ac:dyDescent="0.35">
      <c r="B221" s="2" t="s">
        <v>199</v>
      </c>
      <c r="C221" s="1">
        <v>176777315</v>
      </c>
    </row>
    <row r="222" spans="2:3" x14ac:dyDescent="0.35">
      <c r="B222" s="2" t="s">
        <v>200</v>
      </c>
      <c r="C222" s="1">
        <v>435908427</v>
      </c>
    </row>
    <row r="223" spans="2:3" x14ac:dyDescent="0.35">
      <c r="B223" s="2" t="s">
        <v>201</v>
      </c>
      <c r="C223" s="1">
        <v>1243200000</v>
      </c>
    </row>
    <row r="224" spans="2:3" x14ac:dyDescent="0.35">
      <c r="B224" s="2" t="s">
        <v>202</v>
      </c>
      <c r="C224" s="1">
        <v>31770100</v>
      </c>
    </row>
    <row r="225" spans="2:3" x14ac:dyDescent="0.35">
      <c r="B225" s="2" t="s">
        <v>203</v>
      </c>
      <c r="C225" s="1">
        <v>81985185</v>
      </c>
    </row>
    <row r="226" spans="2:3" x14ac:dyDescent="0.35">
      <c r="B226" s="2" t="s">
        <v>204</v>
      </c>
      <c r="C226" s="1">
        <v>5719000</v>
      </c>
    </row>
    <row r="227" spans="2:3" x14ac:dyDescent="0.35">
      <c r="B227" s="2" t="s">
        <v>205</v>
      </c>
      <c r="C227" s="1">
        <v>838511022</v>
      </c>
    </row>
    <row r="228" spans="2:3" x14ac:dyDescent="0.35">
      <c r="B228" s="2" t="s">
        <v>206</v>
      </c>
      <c r="C228" s="1">
        <v>35397716</v>
      </c>
    </row>
    <row r="229" spans="2:3" x14ac:dyDescent="0.35">
      <c r="B229" s="2" t="s">
        <v>207</v>
      </c>
      <c r="C229" s="1">
        <v>33233362</v>
      </c>
    </row>
    <row r="230" spans="2:3" x14ac:dyDescent="0.35">
      <c r="B230" s="2" t="s">
        <v>208</v>
      </c>
      <c r="C230" s="1">
        <v>237676720</v>
      </c>
    </row>
    <row r="231" spans="2:3" x14ac:dyDescent="0.35">
      <c r="B231" s="2" t="s">
        <v>209</v>
      </c>
      <c r="C231" s="1">
        <v>365832094</v>
      </c>
    </row>
    <row r="232" spans="2:3" x14ac:dyDescent="0.35">
      <c r="B232" s="2" t="s">
        <v>210</v>
      </c>
      <c r="C232" s="1">
        <v>980086734</v>
      </c>
    </row>
    <row r="233" spans="2:3" x14ac:dyDescent="0.35">
      <c r="B233" s="2" t="s">
        <v>211</v>
      </c>
      <c r="C233" s="1">
        <v>4519201906</v>
      </c>
    </row>
    <row r="234" spans="2:3" x14ac:dyDescent="0.35">
      <c r="B234" s="2" t="s">
        <v>212</v>
      </c>
      <c r="C234" s="1">
        <v>224425269</v>
      </c>
    </row>
    <row r="235" spans="2:3" x14ac:dyDescent="0.35">
      <c r="B235" s="2" t="s">
        <v>213</v>
      </c>
      <c r="C235" s="1">
        <v>296317000</v>
      </c>
    </row>
    <row r="236" spans="2:3" x14ac:dyDescent="0.35">
      <c r="B236" s="2" t="s">
        <v>152</v>
      </c>
      <c r="C236" s="1">
        <v>31441356998</v>
      </c>
    </row>
    <row r="238" spans="2:3" x14ac:dyDescent="0.35">
      <c r="B238" s="2" t="s">
        <v>214</v>
      </c>
      <c r="C238" s="1">
        <v>2691459620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B7C99-11C9-D04A-8A37-264C545D621A}">
  <dimension ref="A1:D49"/>
  <sheetViews>
    <sheetView topLeftCell="A17" workbookViewId="0">
      <selection activeCell="B43" sqref="B43"/>
    </sheetView>
  </sheetViews>
  <sheetFormatPr baseColWidth="10" defaultRowHeight="16" x14ac:dyDescent="0.2"/>
  <cols>
    <col min="1" max="1" width="40.1640625" bestFit="1" customWidth="1"/>
    <col min="2" max="2" width="39.33203125" bestFit="1" customWidth="1"/>
    <col min="3" max="3" width="48.6640625" bestFit="1" customWidth="1"/>
    <col min="4" max="4" width="14" bestFit="1" customWidth="1"/>
  </cols>
  <sheetData>
    <row r="1" spans="1:4" ht="19" x14ac:dyDescent="0.35">
      <c r="A1" s="2" t="s">
        <v>0</v>
      </c>
      <c r="B1" s="3">
        <v>28739220000</v>
      </c>
    </row>
    <row r="2" spans="1:4" ht="19" x14ac:dyDescent="0.35">
      <c r="B2" s="2" t="s">
        <v>1</v>
      </c>
      <c r="C2" s="3">
        <v>21126965178</v>
      </c>
    </row>
    <row r="3" spans="1:4" ht="19" x14ac:dyDescent="0.35">
      <c r="C3" s="2" t="s">
        <v>2</v>
      </c>
      <c r="D3" s="3">
        <v>8166508049</v>
      </c>
    </row>
    <row r="4" spans="1:4" ht="19" x14ac:dyDescent="0.35">
      <c r="C4" s="2" t="s">
        <v>13</v>
      </c>
      <c r="D4" s="3">
        <v>3223566661</v>
      </c>
    </row>
    <row r="5" spans="1:4" ht="19" x14ac:dyDescent="0.35">
      <c r="C5" s="2" t="s">
        <v>19</v>
      </c>
      <c r="D5" s="3">
        <v>551716162</v>
      </c>
    </row>
    <row r="6" spans="1:4" ht="19" x14ac:dyDescent="0.35">
      <c r="C6" s="2" t="s">
        <v>28</v>
      </c>
      <c r="D6" s="3">
        <v>2719050000</v>
      </c>
    </row>
    <row r="7" spans="1:4" ht="19" x14ac:dyDescent="0.35">
      <c r="C7" s="2" t="s">
        <v>37</v>
      </c>
      <c r="D7" s="3">
        <v>6466124306</v>
      </c>
    </row>
    <row r="8" spans="1:4" ht="19" x14ac:dyDescent="0.35">
      <c r="B8" s="2" t="s">
        <v>52</v>
      </c>
      <c r="C8" s="3">
        <v>117840000</v>
      </c>
    </row>
    <row r="9" spans="1:4" ht="19" x14ac:dyDescent="0.35">
      <c r="B9" s="2" t="s">
        <v>54</v>
      </c>
      <c r="C9" s="3">
        <v>1951827876</v>
      </c>
    </row>
    <row r="10" spans="1:4" ht="19" x14ac:dyDescent="0.35">
      <c r="C10" s="2" t="s">
        <v>55</v>
      </c>
      <c r="D10" s="3">
        <v>999999000</v>
      </c>
    </row>
    <row r="11" spans="1:4" ht="19" x14ac:dyDescent="0.35">
      <c r="C11" s="2" t="s">
        <v>61</v>
      </c>
      <c r="D11" s="3">
        <v>32111589</v>
      </c>
    </row>
    <row r="12" spans="1:4" ht="19" x14ac:dyDescent="0.35">
      <c r="C12" s="2" t="s">
        <v>63</v>
      </c>
      <c r="D12" s="3">
        <v>919717287</v>
      </c>
    </row>
    <row r="13" spans="1:4" ht="19" x14ac:dyDescent="0.35">
      <c r="B13" s="2" t="s">
        <v>78</v>
      </c>
      <c r="C13" s="3">
        <v>3142025220</v>
      </c>
    </row>
    <row r="14" spans="1:4" ht="19" x14ac:dyDescent="0.35">
      <c r="C14" s="2" t="s">
        <v>79</v>
      </c>
      <c r="D14" s="3">
        <v>3080141035</v>
      </c>
    </row>
    <row r="15" spans="1:4" ht="19" x14ac:dyDescent="0.35">
      <c r="C15" s="2" t="s">
        <v>91</v>
      </c>
      <c r="D15" s="3">
        <v>61884185</v>
      </c>
    </row>
    <row r="16" spans="1:4" ht="19" x14ac:dyDescent="0.35">
      <c r="B16" s="2" t="s">
        <v>92</v>
      </c>
      <c r="C16" s="3">
        <v>359342000</v>
      </c>
    </row>
    <row r="17" spans="1:4" ht="19" x14ac:dyDescent="0.35">
      <c r="B17" s="2" t="s">
        <v>93</v>
      </c>
      <c r="C17" s="3">
        <v>2041219726</v>
      </c>
    </row>
    <row r="18" spans="1:4" ht="19" x14ac:dyDescent="0.35">
      <c r="A18" s="2" t="s">
        <v>94</v>
      </c>
      <c r="B18" s="3">
        <v>9305080000</v>
      </c>
    </row>
    <row r="19" spans="1:4" ht="19" x14ac:dyDescent="0.35">
      <c r="B19" s="2" t="s">
        <v>95</v>
      </c>
      <c r="C19" s="3">
        <v>9305080000</v>
      </c>
    </row>
    <row r="20" spans="1:4" ht="19" x14ac:dyDescent="0.35">
      <c r="C20" s="2" t="s">
        <v>96</v>
      </c>
      <c r="D20" s="3">
        <v>6045000000</v>
      </c>
    </row>
    <row r="21" spans="1:4" ht="19" x14ac:dyDescent="0.35">
      <c r="C21" s="2" t="s">
        <v>104</v>
      </c>
      <c r="D21" s="3">
        <v>3254582000</v>
      </c>
    </row>
    <row r="22" spans="1:4" ht="19" x14ac:dyDescent="0.35">
      <c r="C22" s="2" t="s">
        <v>123</v>
      </c>
      <c r="D22" s="3">
        <v>5498000</v>
      </c>
    </row>
    <row r="23" spans="1:4" ht="19" x14ac:dyDescent="0.35">
      <c r="A23" s="2" t="s">
        <v>125</v>
      </c>
      <c r="B23" s="3">
        <v>15800250000</v>
      </c>
    </row>
    <row r="24" spans="1:4" ht="19" x14ac:dyDescent="0.35">
      <c r="B24" s="2" t="s">
        <v>126</v>
      </c>
      <c r="C24" s="3">
        <v>15800250000</v>
      </c>
    </row>
    <row r="25" spans="1:4" ht="19" x14ac:dyDescent="0.35">
      <c r="C25" s="2" t="s">
        <v>127</v>
      </c>
      <c r="D25" s="3">
        <v>8100003000</v>
      </c>
    </row>
    <row r="26" spans="1:4" ht="19" x14ac:dyDescent="0.35">
      <c r="C26" s="2" t="s">
        <v>134</v>
      </c>
      <c r="D26" s="3">
        <v>10000</v>
      </c>
    </row>
    <row r="27" spans="1:4" ht="19" x14ac:dyDescent="0.35">
      <c r="C27" s="2" t="s">
        <v>135</v>
      </c>
      <c r="D27" s="3">
        <v>7237000</v>
      </c>
    </row>
    <row r="28" spans="1:4" ht="19" x14ac:dyDescent="0.35">
      <c r="C28" s="2" t="s">
        <v>139</v>
      </c>
      <c r="D28" s="3">
        <v>2151500000</v>
      </c>
    </row>
    <row r="29" spans="1:4" ht="19" x14ac:dyDescent="0.35">
      <c r="C29" s="2" t="s">
        <v>144</v>
      </c>
      <c r="D29" s="3">
        <v>131500000</v>
      </c>
    </row>
    <row r="30" spans="1:4" ht="19" x14ac:dyDescent="0.35">
      <c r="C30" s="2" t="s">
        <v>149</v>
      </c>
      <c r="D30" s="3">
        <v>5410000000</v>
      </c>
    </row>
    <row r="33" spans="1:3" ht="19" x14ac:dyDescent="0.35">
      <c r="A33" s="2" t="s">
        <v>0</v>
      </c>
    </row>
    <row r="34" spans="1:3" ht="19" x14ac:dyDescent="0.35">
      <c r="B34" s="2" t="s">
        <v>215</v>
      </c>
      <c r="C34" s="3">
        <v>8166508049</v>
      </c>
    </row>
    <row r="35" spans="1:3" ht="19" x14ac:dyDescent="0.35">
      <c r="B35" s="2" t="s">
        <v>216</v>
      </c>
      <c r="C35" s="3">
        <v>3223566661</v>
      </c>
    </row>
    <row r="36" spans="1:3" ht="19" x14ac:dyDescent="0.35">
      <c r="B36" s="2" t="s">
        <v>217</v>
      </c>
      <c r="C36" s="3">
        <v>551716162</v>
      </c>
    </row>
    <row r="37" spans="1:3" ht="19" x14ac:dyDescent="0.35">
      <c r="B37" s="2" t="s">
        <v>218</v>
      </c>
      <c r="C37" s="3">
        <v>2719050000</v>
      </c>
    </row>
    <row r="38" spans="1:3" ht="19" x14ac:dyDescent="0.35">
      <c r="B38" s="2" t="s">
        <v>219</v>
      </c>
      <c r="C38" s="3">
        <v>6466124306</v>
      </c>
    </row>
    <row r="39" spans="1:3" ht="19" x14ac:dyDescent="0.35">
      <c r="B39" s="2" t="s">
        <v>220</v>
      </c>
      <c r="C39" s="3">
        <v>117840000</v>
      </c>
    </row>
    <row r="40" spans="1:3" ht="19" x14ac:dyDescent="0.35">
      <c r="B40" s="2" t="s">
        <v>221</v>
      </c>
      <c r="C40" s="3">
        <v>1951827876</v>
      </c>
    </row>
    <row r="41" spans="1:3" ht="19" x14ac:dyDescent="0.35">
      <c r="B41" s="2" t="s">
        <v>222</v>
      </c>
      <c r="C41" s="3">
        <v>3142025220</v>
      </c>
    </row>
    <row r="42" spans="1:3" ht="19" x14ac:dyDescent="0.35">
      <c r="B42" s="2" t="s">
        <v>223</v>
      </c>
      <c r="C42" s="3">
        <v>359342000</v>
      </c>
    </row>
    <row r="43" spans="1:3" ht="19" x14ac:dyDescent="0.35">
      <c r="B43" s="2" t="s">
        <v>224</v>
      </c>
      <c r="C43" s="3">
        <v>2041219726</v>
      </c>
    </row>
    <row r="44" spans="1:3" ht="19" x14ac:dyDescent="0.35">
      <c r="A44" s="2" t="s">
        <v>94</v>
      </c>
    </row>
    <row r="45" spans="1:3" ht="19" x14ac:dyDescent="0.35">
      <c r="B45" s="2" t="s">
        <v>225</v>
      </c>
      <c r="C45" s="3">
        <v>6045000000</v>
      </c>
    </row>
    <row r="46" spans="1:3" ht="19" x14ac:dyDescent="0.35">
      <c r="B46" s="2" t="s">
        <v>226</v>
      </c>
      <c r="C46" s="3">
        <v>3254582000</v>
      </c>
    </row>
    <row r="47" spans="1:3" ht="19" x14ac:dyDescent="0.35">
      <c r="B47" s="2" t="s">
        <v>227</v>
      </c>
      <c r="C47" s="3">
        <v>5498000</v>
      </c>
    </row>
    <row r="48" spans="1:3" ht="19" x14ac:dyDescent="0.35">
      <c r="A48" s="2" t="s">
        <v>125</v>
      </c>
    </row>
    <row r="49" spans="2:3" ht="19" x14ac:dyDescent="0.35">
      <c r="B49" s="2" t="s">
        <v>228</v>
      </c>
      <c r="C49" s="3">
        <v>15800250000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B239A-9FB9-D54C-BF02-DED76B2A408E}">
  <dimension ref="A1:C31"/>
  <sheetViews>
    <sheetView topLeftCell="A16" zoomScale="190" zoomScaleNormal="190" workbookViewId="0">
      <selection activeCell="C23" sqref="C23"/>
    </sheetView>
  </sheetViews>
  <sheetFormatPr baseColWidth="10" defaultRowHeight="16" x14ac:dyDescent="0.2"/>
  <cols>
    <col min="2" max="2" width="39.1640625" customWidth="1"/>
    <col min="3" max="3" width="18" style="1" bestFit="1" customWidth="1"/>
  </cols>
  <sheetData>
    <row r="1" spans="1:3" ht="19" x14ac:dyDescent="0.35">
      <c r="A1">
        <v>100000</v>
      </c>
      <c r="B1" s="2" t="s">
        <v>0</v>
      </c>
      <c r="C1" s="1">
        <v>18729709000</v>
      </c>
    </row>
    <row r="2" spans="1:3" ht="19" x14ac:dyDescent="0.35">
      <c r="A2">
        <v>110000</v>
      </c>
      <c r="B2" s="2" t="s">
        <v>1</v>
      </c>
      <c r="C2" s="1">
        <v>13836326031</v>
      </c>
    </row>
    <row r="3" spans="1:3" ht="19" x14ac:dyDescent="0.35">
      <c r="A3">
        <v>110100</v>
      </c>
      <c r="B3" s="2" t="s">
        <v>2</v>
      </c>
      <c r="C3" s="1">
        <v>4723804498</v>
      </c>
    </row>
    <row r="4" spans="1:3" ht="19" x14ac:dyDescent="0.35">
      <c r="A4">
        <v>110200</v>
      </c>
      <c r="B4" s="2" t="s">
        <v>13</v>
      </c>
      <c r="C4" s="1">
        <v>1916253759</v>
      </c>
    </row>
    <row r="5" spans="1:3" ht="19" x14ac:dyDescent="0.35">
      <c r="A5">
        <v>110300</v>
      </c>
      <c r="B5" s="2" t="s">
        <v>19</v>
      </c>
      <c r="C5" s="1">
        <v>404748310</v>
      </c>
    </row>
    <row r="6" spans="1:3" ht="19" x14ac:dyDescent="0.35">
      <c r="A6">
        <v>110400</v>
      </c>
      <c r="B6" s="2" t="s">
        <v>28</v>
      </c>
      <c r="C6" s="1">
        <v>1470649449</v>
      </c>
    </row>
    <row r="7" spans="1:3" ht="19" x14ac:dyDescent="0.35">
      <c r="A7">
        <v>110500</v>
      </c>
      <c r="B7" s="2" t="s">
        <v>37</v>
      </c>
      <c r="C7" s="1">
        <v>5320870015</v>
      </c>
    </row>
    <row r="8" spans="1:3" ht="19" x14ac:dyDescent="0.35">
      <c r="A8">
        <v>120000</v>
      </c>
      <c r="B8" s="2" t="s">
        <v>52</v>
      </c>
      <c r="C8" s="1">
        <v>80000000</v>
      </c>
    </row>
    <row r="9" spans="1:3" ht="19" x14ac:dyDescent="0.35">
      <c r="A9">
        <v>130000</v>
      </c>
      <c r="B9" s="2" t="s">
        <v>54</v>
      </c>
      <c r="C9" s="1">
        <v>1749747688</v>
      </c>
    </row>
    <row r="10" spans="1:3" ht="19" x14ac:dyDescent="0.35">
      <c r="A10">
        <v>130100</v>
      </c>
      <c r="B10" s="2" t="s">
        <v>55</v>
      </c>
      <c r="C10" s="1">
        <v>600000000</v>
      </c>
    </row>
    <row r="11" spans="1:3" ht="19" x14ac:dyDescent="0.35">
      <c r="A11">
        <v>130300</v>
      </c>
      <c r="B11" s="2" t="s">
        <v>61</v>
      </c>
      <c r="C11" s="1">
        <v>14975618</v>
      </c>
    </row>
    <row r="12" spans="1:3" ht="19" x14ac:dyDescent="0.35">
      <c r="A12">
        <v>130400</v>
      </c>
      <c r="B12" s="2" t="s">
        <v>63</v>
      </c>
      <c r="C12" s="1">
        <v>1134772070</v>
      </c>
    </row>
    <row r="13" spans="1:3" ht="19" x14ac:dyDescent="0.35">
      <c r="A13">
        <v>140000</v>
      </c>
      <c r="B13" s="2" t="s">
        <v>78</v>
      </c>
      <c r="C13" s="1">
        <v>1966531398</v>
      </c>
    </row>
    <row r="14" spans="1:3" ht="19" x14ac:dyDescent="0.35">
      <c r="A14">
        <v>140100</v>
      </c>
      <c r="B14" s="2" t="s">
        <v>79</v>
      </c>
      <c r="C14" s="1">
        <v>1929852208</v>
      </c>
    </row>
    <row r="15" spans="1:3" ht="19" x14ac:dyDescent="0.35">
      <c r="A15">
        <v>140200</v>
      </c>
      <c r="B15" s="2" t="s">
        <v>91</v>
      </c>
      <c r="C15" s="1">
        <v>36679190</v>
      </c>
    </row>
    <row r="16" spans="1:3" ht="19" x14ac:dyDescent="0.35">
      <c r="A16">
        <v>150000</v>
      </c>
      <c r="B16" s="2" t="s">
        <v>92</v>
      </c>
      <c r="C16" s="1">
        <v>266672409</v>
      </c>
    </row>
    <row r="17" spans="1:3" ht="19" x14ac:dyDescent="0.35">
      <c r="A17">
        <v>160000</v>
      </c>
      <c r="B17" s="2" t="s">
        <v>93</v>
      </c>
      <c r="C17" s="1">
        <v>830431474</v>
      </c>
    </row>
    <row r="18" spans="1:3" ht="19" x14ac:dyDescent="0.35">
      <c r="A18">
        <v>200000</v>
      </c>
      <c r="B18" s="2" t="s">
        <v>94</v>
      </c>
      <c r="C18" s="1">
        <v>6449721000</v>
      </c>
    </row>
    <row r="19" spans="1:3" ht="19" x14ac:dyDescent="0.35">
      <c r="A19">
        <v>210000</v>
      </c>
      <c r="B19" s="2" t="s">
        <v>95</v>
      </c>
      <c r="C19" s="1">
        <v>6449721000</v>
      </c>
    </row>
    <row r="20" spans="1:3" ht="19" x14ac:dyDescent="0.35">
      <c r="A20">
        <v>210100</v>
      </c>
      <c r="B20" s="2" t="s">
        <v>96</v>
      </c>
      <c r="C20" s="1">
        <v>5827430000</v>
      </c>
    </row>
    <row r="21" spans="1:3" ht="19" x14ac:dyDescent="0.35">
      <c r="A21">
        <v>210200</v>
      </c>
      <c r="B21" s="2" t="s">
        <v>104</v>
      </c>
      <c r="C21" s="1">
        <v>622290000</v>
      </c>
    </row>
    <row r="22" spans="1:3" ht="19" x14ac:dyDescent="0.35">
      <c r="A22">
        <v>210300</v>
      </c>
      <c r="B22" s="2" t="s">
        <v>123</v>
      </c>
      <c r="C22" s="1">
        <v>1000</v>
      </c>
    </row>
    <row r="23" spans="1:3" ht="19" x14ac:dyDescent="0.35">
      <c r="A23">
        <v>300000</v>
      </c>
      <c r="B23" s="2" t="s">
        <v>125</v>
      </c>
      <c r="C23" s="1">
        <v>3191970000</v>
      </c>
    </row>
    <row r="24" spans="1:3" ht="19" x14ac:dyDescent="0.35">
      <c r="A24">
        <v>310000</v>
      </c>
      <c r="B24" s="2" t="s">
        <v>126</v>
      </c>
      <c r="C24" s="1">
        <v>3191970000</v>
      </c>
    </row>
    <row r="25" spans="1:3" ht="19" x14ac:dyDescent="0.35">
      <c r="A25">
        <v>310100</v>
      </c>
      <c r="B25" s="2" t="s">
        <v>127</v>
      </c>
      <c r="C25" s="1">
        <v>2546002000</v>
      </c>
    </row>
    <row r="26" spans="1:3" ht="19" x14ac:dyDescent="0.35">
      <c r="A26">
        <v>310200</v>
      </c>
      <c r="B26" s="2" t="s">
        <v>134</v>
      </c>
      <c r="C26" s="1">
        <v>1000</v>
      </c>
    </row>
    <row r="27" spans="1:3" ht="19" x14ac:dyDescent="0.35">
      <c r="A27">
        <v>310400</v>
      </c>
      <c r="B27" s="2" t="s">
        <v>135</v>
      </c>
      <c r="C27" s="1">
        <v>14963000</v>
      </c>
    </row>
    <row r="28" spans="1:3" ht="19" x14ac:dyDescent="0.35">
      <c r="A28">
        <v>310500</v>
      </c>
      <c r="B28" s="2" t="s">
        <v>139</v>
      </c>
      <c r="C28" s="1">
        <v>600000000</v>
      </c>
    </row>
    <row r="29" spans="1:3" ht="19" x14ac:dyDescent="0.35">
      <c r="A29">
        <v>310600</v>
      </c>
      <c r="B29" s="2" t="s">
        <v>144</v>
      </c>
      <c r="C29" s="1">
        <v>31004000</v>
      </c>
    </row>
    <row r="30" spans="1:3" ht="19" x14ac:dyDescent="0.35">
      <c r="A30">
        <v>310700</v>
      </c>
      <c r="B30" s="2" t="s">
        <v>149</v>
      </c>
      <c r="C30" s="1">
        <v>0</v>
      </c>
    </row>
    <row r="31" spans="1:3" ht="19" x14ac:dyDescent="0.35">
      <c r="A31">
        <v>310705</v>
      </c>
      <c r="B31" s="2" t="s">
        <v>150</v>
      </c>
      <c r="C31" s="1" t="s">
        <v>229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BE4D5-BEFD-CF4F-8E81-C6FDA005DE2C}">
  <dimension ref="A1:D49"/>
  <sheetViews>
    <sheetView topLeftCell="A23" workbookViewId="0">
      <selection activeCell="C49" sqref="C34:C49"/>
    </sheetView>
  </sheetViews>
  <sheetFormatPr baseColWidth="10" defaultRowHeight="16" x14ac:dyDescent="0.2"/>
  <cols>
    <col min="1" max="1" width="40.1640625" bestFit="1" customWidth="1"/>
    <col min="2" max="2" width="39.33203125" bestFit="1" customWidth="1"/>
    <col min="3" max="3" width="48.6640625" bestFit="1" customWidth="1"/>
    <col min="4" max="4" width="14" bestFit="1" customWidth="1"/>
  </cols>
  <sheetData>
    <row r="1" spans="1:4" ht="19" x14ac:dyDescent="0.35">
      <c r="A1" s="2" t="s">
        <v>0</v>
      </c>
      <c r="B1" s="3"/>
    </row>
    <row r="2" spans="1:4" ht="19" x14ac:dyDescent="0.35">
      <c r="B2" s="2" t="s">
        <v>1</v>
      </c>
      <c r="C2" s="3"/>
    </row>
    <row r="3" spans="1:4" ht="19" x14ac:dyDescent="0.35">
      <c r="C3" s="2" t="s">
        <v>2</v>
      </c>
      <c r="D3" s="3"/>
    </row>
    <row r="4" spans="1:4" ht="19" x14ac:dyDescent="0.35">
      <c r="C4" s="2" t="s">
        <v>13</v>
      </c>
      <c r="D4" s="3"/>
    </row>
    <row r="5" spans="1:4" ht="19" x14ac:dyDescent="0.35">
      <c r="C5" s="2" t="s">
        <v>19</v>
      </c>
      <c r="D5" s="3"/>
    </row>
    <row r="6" spans="1:4" ht="19" x14ac:dyDescent="0.35">
      <c r="C6" s="2" t="s">
        <v>28</v>
      </c>
      <c r="D6" s="3"/>
    </row>
    <row r="7" spans="1:4" ht="19" x14ac:dyDescent="0.35">
      <c r="C7" s="2" t="s">
        <v>37</v>
      </c>
      <c r="D7" s="3"/>
    </row>
    <row r="8" spans="1:4" ht="19" x14ac:dyDescent="0.35">
      <c r="B8" s="2" t="s">
        <v>52</v>
      </c>
      <c r="C8" s="3"/>
    </row>
    <row r="9" spans="1:4" ht="19" x14ac:dyDescent="0.35">
      <c r="B9" s="2" t="s">
        <v>54</v>
      </c>
      <c r="C9" s="3"/>
    </row>
    <row r="10" spans="1:4" ht="19" x14ac:dyDescent="0.35">
      <c r="C10" s="2" t="s">
        <v>55</v>
      </c>
      <c r="D10" s="3"/>
    </row>
    <row r="11" spans="1:4" ht="19" x14ac:dyDescent="0.35">
      <c r="C11" s="2" t="s">
        <v>61</v>
      </c>
      <c r="D11" s="3"/>
    </row>
    <row r="12" spans="1:4" ht="19" x14ac:dyDescent="0.35">
      <c r="C12" s="2" t="s">
        <v>63</v>
      </c>
      <c r="D12" s="3"/>
    </row>
    <row r="13" spans="1:4" ht="19" x14ac:dyDescent="0.35">
      <c r="B13" s="2" t="s">
        <v>78</v>
      </c>
      <c r="C13" s="3"/>
    </row>
    <row r="14" spans="1:4" ht="19" x14ac:dyDescent="0.35">
      <c r="C14" s="2" t="s">
        <v>79</v>
      </c>
      <c r="D14" s="3"/>
    </row>
    <row r="15" spans="1:4" ht="19" x14ac:dyDescent="0.35">
      <c r="C15" s="2" t="s">
        <v>91</v>
      </c>
      <c r="D15" s="3"/>
    </row>
    <row r="16" spans="1:4" ht="19" x14ac:dyDescent="0.35">
      <c r="B16" s="2" t="s">
        <v>92</v>
      </c>
      <c r="C16" s="3"/>
    </row>
    <row r="17" spans="1:4" ht="19" x14ac:dyDescent="0.35">
      <c r="B17" s="2" t="s">
        <v>93</v>
      </c>
      <c r="C17" s="3"/>
    </row>
    <row r="18" spans="1:4" ht="19" x14ac:dyDescent="0.35">
      <c r="A18" s="2" t="s">
        <v>94</v>
      </c>
      <c r="B18" s="3"/>
    </row>
    <row r="19" spans="1:4" ht="19" x14ac:dyDescent="0.35">
      <c r="B19" s="2" t="s">
        <v>95</v>
      </c>
      <c r="C19" s="3"/>
    </row>
    <row r="20" spans="1:4" ht="19" x14ac:dyDescent="0.35">
      <c r="C20" s="2" t="s">
        <v>96</v>
      </c>
      <c r="D20" s="3"/>
    </row>
    <row r="21" spans="1:4" ht="19" x14ac:dyDescent="0.35">
      <c r="C21" s="2" t="s">
        <v>104</v>
      </c>
      <c r="D21" s="3"/>
    </row>
    <row r="22" spans="1:4" ht="19" x14ac:dyDescent="0.35">
      <c r="C22" s="2" t="s">
        <v>123</v>
      </c>
      <c r="D22" s="3"/>
    </row>
    <row r="23" spans="1:4" ht="19" x14ac:dyDescent="0.35">
      <c r="A23" s="2" t="s">
        <v>125</v>
      </c>
      <c r="B23" s="3"/>
    </row>
    <row r="24" spans="1:4" ht="19" x14ac:dyDescent="0.35">
      <c r="B24" s="2" t="s">
        <v>126</v>
      </c>
      <c r="C24" s="3"/>
    </row>
    <row r="25" spans="1:4" ht="19" x14ac:dyDescent="0.35">
      <c r="C25" s="2" t="s">
        <v>127</v>
      </c>
      <c r="D25" s="3"/>
    </row>
    <row r="26" spans="1:4" ht="19" x14ac:dyDescent="0.35">
      <c r="C26" s="2" t="s">
        <v>134</v>
      </c>
      <c r="D26" s="3"/>
    </row>
    <row r="27" spans="1:4" ht="19" x14ac:dyDescent="0.35">
      <c r="C27" s="2" t="s">
        <v>135</v>
      </c>
      <c r="D27" s="3"/>
    </row>
    <row r="28" spans="1:4" ht="19" x14ac:dyDescent="0.35">
      <c r="C28" s="2" t="s">
        <v>139</v>
      </c>
      <c r="D28" s="3"/>
    </row>
    <row r="29" spans="1:4" ht="19" x14ac:dyDescent="0.35">
      <c r="C29" s="2" t="s">
        <v>144</v>
      </c>
      <c r="D29" s="3"/>
    </row>
    <row r="30" spans="1:4" ht="19" x14ac:dyDescent="0.35">
      <c r="C30" s="2" t="s">
        <v>149</v>
      </c>
      <c r="D30" s="3"/>
    </row>
    <row r="33" spans="1:3" ht="19" x14ac:dyDescent="0.35">
      <c r="A33" s="2" t="s">
        <v>0</v>
      </c>
    </row>
    <row r="34" spans="1:3" ht="19" x14ac:dyDescent="0.35">
      <c r="B34" s="2" t="s">
        <v>215</v>
      </c>
      <c r="C34" s="1">
        <v>4723804498</v>
      </c>
    </row>
    <row r="35" spans="1:3" ht="19" x14ac:dyDescent="0.35">
      <c r="B35" s="2" t="s">
        <v>216</v>
      </c>
      <c r="C35" s="1">
        <v>1916253759</v>
      </c>
    </row>
    <row r="36" spans="1:3" ht="19" x14ac:dyDescent="0.35">
      <c r="B36" s="2" t="s">
        <v>217</v>
      </c>
      <c r="C36" s="1">
        <v>404748310</v>
      </c>
    </row>
    <row r="37" spans="1:3" ht="19" x14ac:dyDescent="0.35">
      <c r="B37" s="2" t="s">
        <v>218</v>
      </c>
      <c r="C37" s="1">
        <v>1470649449</v>
      </c>
    </row>
    <row r="38" spans="1:3" ht="19" x14ac:dyDescent="0.35">
      <c r="B38" s="2" t="s">
        <v>219</v>
      </c>
      <c r="C38" s="1">
        <v>5320870015</v>
      </c>
    </row>
    <row r="39" spans="1:3" ht="19" x14ac:dyDescent="0.35">
      <c r="B39" s="2" t="s">
        <v>220</v>
      </c>
      <c r="C39" s="1">
        <v>80000000</v>
      </c>
    </row>
    <row r="40" spans="1:3" ht="19" x14ac:dyDescent="0.35">
      <c r="B40" s="2" t="s">
        <v>230</v>
      </c>
      <c r="C40" s="1">
        <v>1749747688</v>
      </c>
    </row>
    <row r="41" spans="1:3" ht="19" x14ac:dyDescent="0.35">
      <c r="B41" s="2" t="s">
        <v>222</v>
      </c>
      <c r="C41" s="1">
        <v>1966531398</v>
      </c>
    </row>
    <row r="42" spans="1:3" ht="19" x14ac:dyDescent="0.35">
      <c r="B42" s="2" t="s">
        <v>223</v>
      </c>
      <c r="C42" s="1">
        <v>266672409</v>
      </c>
    </row>
    <row r="43" spans="1:3" ht="19" x14ac:dyDescent="0.35">
      <c r="B43" s="2" t="s">
        <v>224</v>
      </c>
      <c r="C43" s="1">
        <v>830431474</v>
      </c>
    </row>
    <row r="44" spans="1:3" ht="19" x14ac:dyDescent="0.35">
      <c r="A44" s="2" t="s">
        <v>94</v>
      </c>
    </row>
    <row r="45" spans="1:3" ht="19" x14ac:dyDescent="0.35">
      <c r="B45" s="2" t="s">
        <v>225</v>
      </c>
      <c r="C45" s="1">
        <v>5827430000</v>
      </c>
    </row>
    <row r="46" spans="1:3" ht="19" x14ac:dyDescent="0.35">
      <c r="B46" s="2" t="s">
        <v>226</v>
      </c>
      <c r="C46" s="1">
        <v>622290000</v>
      </c>
    </row>
    <row r="47" spans="1:3" ht="19" x14ac:dyDescent="0.35">
      <c r="B47" s="2" t="s">
        <v>227</v>
      </c>
      <c r="C47" s="1">
        <v>1000</v>
      </c>
    </row>
    <row r="48" spans="1:3" ht="19" x14ac:dyDescent="0.35">
      <c r="A48" s="2" t="s">
        <v>125</v>
      </c>
    </row>
    <row r="49" spans="2:3" ht="19" x14ac:dyDescent="0.35">
      <c r="B49" s="2" t="s">
        <v>228</v>
      </c>
      <c r="C49" s="1">
        <v>3191970000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1404</vt:lpstr>
      <vt:lpstr>1404 aggregate</vt:lpstr>
      <vt:lpstr>1403</vt:lpstr>
      <vt:lpstr>1403 aggregate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Hamidreza Ahmadi</dc:creator>
  <cp:lastModifiedBy>Hamidreza Ahmadi</cp:lastModifiedBy>
  <dcterms:created xsi:type="dcterms:W3CDTF">2026-01-02T20:11:07Z</dcterms:created>
  <dcterms:modified xsi:type="dcterms:W3CDTF">2026-01-03T18:30:50Z</dcterms:modified>
</cp:coreProperties>
</file>